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TOS" sheetId="1" r:id="rId4"/>
    <sheet state="visible" name="CONTRATOS VIGENTES" sheetId="2" r:id="rId5"/>
  </sheets>
  <definedNames/>
  <calcPr/>
</workbook>
</file>

<file path=xl/sharedStrings.xml><?xml version="1.0" encoding="utf-8"?>
<sst xmlns="http://schemas.openxmlformats.org/spreadsheetml/2006/main" count="726" uniqueCount="591">
  <si>
    <t>Nº CONTRATO</t>
  </si>
  <si>
    <t xml:space="preserve">Nº CONTRATO SIGADOC </t>
  </si>
  <si>
    <t>CONTRATADA</t>
  </si>
  <si>
    <t xml:space="preserve">TIPO DE CONTRATO </t>
  </si>
  <si>
    <t>OBJETO DO CONTRATO</t>
  </si>
  <si>
    <t>VIGÊNCIA</t>
  </si>
  <si>
    <t>VIGENCIA_ID</t>
  </si>
  <si>
    <t xml:space="preserve">SETOR DEMANDANTE </t>
  </si>
  <si>
    <t>NOTA FISCAL</t>
  </si>
  <si>
    <t>Nº_ORDEM_FORNEC</t>
  </si>
  <si>
    <t>NÚMERO DO EMPENHO</t>
  </si>
  <si>
    <t>DOTAÇÃO</t>
  </si>
  <si>
    <t>UNIDADE ORÇAMENTÁRIA</t>
  </si>
  <si>
    <t>PAOE</t>
  </si>
  <si>
    <t>FONTE</t>
  </si>
  <si>
    <t>VALOR TOTAL DO CONTRATO (A)</t>
  </si>
  <si>
    <t>SALDO EMPENHADO 2025</t>
  </si>
  <si>
    <t>SALDO  UTILIZADO</t>
  </si>
  <si>
    <t>SALDO ATUAL DO CONTRATO</t>
  </si>
  <si>
    <t>RESTO A  SER EMPENHADO</t>
  </si>
  <si>
    <t>EXTORNADO</t>
  </si>
  <si>
    <t>057/2025</t>
  </si>
  <si>
    <t>SETASC-PRO-2025/12219</t>
  </si>
  <si>
    <t>NP TECNOLOGIA E GESTÃO DE DADOS LTDA</t>
  </si>
  <si>
    <t xml:space="preserve">O objeto do presente instrumento refere-se à Contratação da empresa especializada para a disponibilização de assinatura da ferramenta de pesquisa Banco de Preços -sistema inteligente de pesquisa de preços, baseado em resultado de licitações adjudicadas e homologadas em todo o território brasileiro., por intermédio da Secretaria de Estado de Assistência Social e Cidadania – SETASC/MT, conforme as condições estabelecidas no Termo de Referência. </t>
  </si>
  <si>
    <t>30/09/2025 a 29/09/2027</t>
  </si>
  <si>
    <t>056/2025</t>
  </si>
  <si>
    <t>SETASC-2025/13082</t>
  </si>
  <si>
    <t>BNP SOLUÇÕES INTEGRADAS LTDA</t>
  </si>
  <si>
    <t xml:space="preserve">O objeto do presente instrumento refere-se Aquisição de uniformes, tênis, mochilas e estojos para atender o programa Ser Família Criança Contraturno. </t>
  </si>
  <si>
    <t>055/2025</t>
  </si>
  <si>
    <t>SETASC-PRO-2025/13137</t>
  </si>
  <si>
    <t>FIBRATEX COMERCIAL LTDA</t>
  </si>
  <si>
    <t>O objeto do presente instrumento refere-se Aquisição de uniformes, tênis, mochilas e estojos para atender o programa Ser Família Criança Contraturno.</t>
  </si>
  <si>
    <t>054/2025</t>
  </si>
  <si>
    <t>SETASC-PRO-2025/13046</t>
  </si>
  <si>
    <t>BELA VISTA TEXTIL LTDA</t>
  </si>
  <si>
    <t>053/2025</t>
  </si>
  <si>
    <t>SETASC-2025/12964</t>
  </si>
  <si>
    <t>HLJ NEGOCIOS LTDA</t>
  </si>
  <si>
    <t>O objeto do presente instrumento é a Aquisição de uniformes, tênis, mochilas e estojos para atender o programa Ser Família Criança Contraturno, por intermédio da Secretaria de Estado de Assistência 
Social e Cidadania - SETASC/MT, conforme as condições e exigências estabelecidas no Termo de Referência.</t>
  </si>
  <si>
    <t>02/10/2025 a 01/10/2027</t>
  </si>
  <si>
    <t>052/2025</t>
  </si>
  <si>
    <t>SETASC-PRO-2025/12890</t>
  </si>
  <si>
    <t>G&amp;L INDÚSTRIA E COMÉRCIO LTDA - EPP</t>
  </si>
  <si>
    <t>O objeto do presente instrumento é a Aquisição de uniformes, tênis, mochilas e estojos para atender o programa Ser Família Criança 
Contraturno, por intermédio da Secretaria de Estado de Assistência Social e Cidadania - SETASC/MT.</t>
  </si>
  <si>
    <t>01/10/2025 a 30/09/2025</t>
  </si>
  <si>
    <t>051/2025</t>
  </si>
  <si>
    <t>SETASC-PRO-2025/08187</t>
  </si>
  <si>
    <t>IMPERIAL KEYS LTDA</t>
  </si>
  <si>
    <t>O objeto do presente instrumento é a prestação dos serviços de chaveiro, com fornecimento do material para atender as demandas da Secretaria de Estado de Assistência Social e Cidadania – SETASC/MT, nas condições estabelecidas no Termo de Referência.</t>
  </si>
  <si>
    <t>29/09/2025 a 28/09/2026</t>
  </si>
  <si>
    <t>050/2025</t>
  </si>
  <si>
    <t>SETASC-PRO-2025/11700</t>
  </si>
  <si>
    <t>UGOLINI CAMPOS LTDA</t>
  </si>
  <si>
    <t>O objeto do presente instrumento refere-se à contratação de empresa especializada para o fornecimento de água mineral natural e vasilhames de acondicionamento, para atender às demandas dos Órgãos/Entidades do Poder Executivo Estadual, no âmbito de Cuiabá e Várzea Grande, nas condições estabelecidas no Termo de Referência, que deriva da adesão à Ata de Registro de Preços nº 004/2024/SEPLAG, decorrente do Pregão Eletrônico nº 003/2024/SEPLAG, em conformidade com o Termo de Referência apresentado e demais anexos, independente de transcrição.</t>
  </si>
  <si>
    <t>23/09/2025 a 22/09/2026</t>
  </si>
  <si>
    <t>049/2025</t>
  </si>
  <si>
    <t>SETASC-PRO-2025/12357</t>
  </si>
  <si>
    <t>ATIVA LOCAÇÃO LTDA</t>
  </si>
  <si>
    <t>DEMANDA</t>
  </si>
  <si>
    <t xml:space="preserve"> O objeto do presente instrumento refere-se à contratação de empresa especializada na prestação de serviços para eventos, incluindo banheiros químicos, para atender as demandas da SACIS.</t>
  </si>
  <si>
    <t>18/09/2025 a 17/09/2026</t>
  </si>
  <si>
    <t>048/2025</t>
  </si>
  <si>
    <t>SETASC-PRO-2025/12356</t>
  </si>
  <si>
    <t xml:space="preserve">INFORTOUCH, AGÊNCIA DE COMUNICAÇÃO, EVENTOS E PRODUTOS ALIMENTÍCIOS LTDA				</t>
  </si>
  <si>
    <t>O objeto do presente instrumento refere-se à contratação de empresa especializada na prestação de serviços para eventos, incluindo palco e tenda; climatizador e gerador de energia, para atender as demandas da SACIS.</t>
  </si>
  <si>
    <t>19/09/2025 a 18/09/2026</t>
  </si>
  <si>
    <t>047/2025</t>
  </si>
  <si>
    <t>SETASC-PRO-2025/12354</t>
  </si>
  <si>
    <t>SETTE LOCAÇÃO DE SOM, LUZ E PALCO LTDA</t>
  </si>
  <si>
    <t>O objeto do presente instrumento refere-se à contratação de empresa especializada na prestação de serviços para eventos, incluindo sonorização, iluminação e imagem, para atender as demandas da SACIS.</t>
  </si>
  <si>
    <t>046/2025</t>
  </si>
  <si>
    <t>SETASC-PRO-2025/11281</t>
  </si>
  <si>
    <t>TMF CONSTRUÇÕES, INCORPORAÇÃO E SERVIÇOS LTDA.</t>
  </si>
  <si>
    <t>O objeto do presente instrumento refere-se à prestação de serviços especializado, sob demanda, para prestação de serviços de MANUTENÇÃO PREDIAL, consistindo em instalação, montagem, reparação e adaptação, com fornecimento de peças, equipamentos, materiais e mão de obra, sendo a remuneração por maior desconto aplicado na forma estabelecida em planilhas de serviços e insumos constantes na tabela SINAPI e por composições derivadas, de natureza comum, visando atender as demandas da SETASC.</t>
  </si>
  <si>
    <t>16/09/2025 a 15/09/2027</t>
  </si>
  <si>
    <t>045/2025</t>
  </si>
  <si>
    <t>SETASC-PRO-2025/10455</t>
  </si>
  <si>
    <t>LINCE SEGURANÇA PATRIMONIAL LTDA</t>
  </si>
  <si>
    <t>O objeto do presente instrumento é a adesão à ARP nº 001/2025/SEPLAG para contratação de serviço especializado de mão de obra para prestação de serviços de Vigilância Armada e Desarmada para atender a Secretaria de Estado de Assistência Social e Cidadania- SETASC e suas unidades descentralizadas, conforme especificações e  condições técnicas constantes no Edital n° 018/2024/SEPLAG.</t>
  </si>
  <si>
    <t>044/2025</t>
  </si>
  <si>
    <t>SETASC-PRO-2025/07151</t>
  </si>
  <si>
    <t>PROJECT-FI</t>
  </si>
  <si>
    <t xml:space="preserve">O objeto do presente instrumento refere-se à Contratação de pessoa jurídica especializada para prestação de serviços In Company de Assessoria e Consultoria em elaboração e gerenciamento de projetos em Direitos Humanos, Gestão e Políticas Públicas, e Capacitação em Programas de Proteção., por intermédio da Secretaria de Estado de Assistência Social e Cidadania - SETASC/MT. </t>
  </si>
  <si>
    <t>16/09/2025 a 15/12/2025</t>
  </si>
  <si>
    <t>043/2025</t>
  </si>
  <si>
    <t>SETASC-PRO-2025/05006</t>
  </si>
  <si>
    <t>CONFORTLINE ENGENHARIA TÉRMICA LTDA.</t>
  </si>
  <si>
    <t>O objeto do presente instrumento refere-se Aquisição/Contratação de sistema de ar condicionado VRF (Variable Refrigerant Flow)</t>
  </si>
  <si>
    <t>10/09/2025 a 09/09/2026</t>
  </si>
  <si>
    <t>042/2025</t>
  </si>
  <si>
    <t>SETASC-PRO-2025/06841</t>
  </si>
  <si>
    <t>ASSOCIAÇÃO DE PESQUISADORES E FORMADORES DA AREA DA CRIANÇA E DO ADOLESCENTE - NECA</t>
  </si>
  <si>
    <t>O objeto do presente instrumento é a Contratação da  Associação de Pesquisadores e Formadores da Área da Criança e do Adolescente - NECA para capacitação de 170 profissionais da rede  sócio assistencial do Estado de Mato Grosso sobre a proteção integral de crianças e adolescentes para a prevenção, percepção, identificação  dos principais indicadores apresentados por crianças e adolescentes em situação de Trabalho Infantil (TI).</t>
  </si>
  <si>
    <t>04/09/2025 a 03/03/2026</t>
  </si>
  <si>
    <t>041/2025</t>
  </si>
  <si>
    <t>SETASC-PRO-2025/07268</t>
  </si>
  <si>
    <t>ROMMA SISTEMAS DE SEGURANÇA ELETRÔNICA LTDA</t>
  </si>
  <si>
    <t>O objeto do presente instrumento é a adesão à ARP nº 005/2025/SEPLAG, para aquisição de material permanente, sendo, equipamento tipo controlador de acesso com reconhecimento facial para atender à demanda da Secretaria de Assistência Social e suas unidades descentralizadas.</t>
  </si>
  <si>
    <t>040/2025</t>
  </si>
  <si>
    <t>SETASC-PRO-2025/10325</t>
  </si>
  <si>
    <t>SUPREMA LOCADORA DE VEÍCULOS LEVES E PESADOS LTDA</t>
  </si>
  <si>
    <t xml:space="preserve">O objeto do presente instrumento é a adesão à ARP nº 015/2025/SEPLAG para contratação de empresa especializada na locação de veículos administrativos para atender à demanda da Secretaria de Assistência Social e suas unidades descentralizadas, conforme especificações e condições técnicas constantes no Edital n° 011/2025/SEPLAG.
</t>
  </si>
  <si>
    <t>13/08/2025 a 12/08/2030</t>
  </si>
  <si>
    <t>039/2025</t>
  </si>
  <si>
    <t>SETASC-PRO-2025/09704</t>
  </si>
  <si>
    <t>GIBBOR PUBLICIDADE E PUBLICAÇÕES DE EDITAIS EIRELI EPP</t>
  </si>
  <si>
    <t xml:space="preserve">O objeto do presente instrumento é a prestação dos serviços de empresa especializada na prestação de serviços para publicação de avisos de licitação e outras matérias dos interesses da Contratante, em jornal diário de grande circulação, para atender às demandas da  Secretaria de Estado de Assistência Social e Cidadania – SETASC/MT, nas condições constantes neste instrumento e no Edital do Pregão Eletrônico nº. 006/2025/SEPLAG.   </t>
  </si>
  <si>
    <t>07/08/2025 a 06/08/2027</t>
  </si>
  <si>
    <t>038/2025</t>
  </si>
  <si>
    <t>SETASC-PRO-2025/00190</t>
  </si>
  <si>
    <t>S.V. LEÃO LTDA</t>
  </si>
  <si>
    <t xml:space="preserve">O objeto do presente instrumento refere-se à contratação de pessoa jurídica especializada no fornecimento de mobiliário planejado da Secretaria de Estado de Assistência Social e Cidadania – SETASC/MT, conforme descrições e quantitativos constantes na tabela abaixo, conforme condições e exigências estabelecidas no Termo de Referência que deu origem a este Contrato.   </t>
  </si>
  <si>
    <t>30/07/2025 a 29/07/2026</t>
  </si>
  <si>
    <t>037/2025</t>
  </si>
  <si>
    <t>SETASC-PRO-2025/08981</t>
  </si>
  <si>
    <t>C&amp;C PRODUCOES E SHOWS LTDA</t>
  </si>
  <si>
    <t>O objeto do presente instrumento refere-se à Contratação de profissional do setor artístico “Cleber e Cauan” por meio de empresário exclusivo, consagrado pela opinião pública, para evento intitulado “Arraiá da Cidadania” a ser realizado na data de 25/07/2025, na Cidade de Cuiabá-MT, por intermédio da Secretaria de Estado de Assistência Social e Cidadania - SETASC/MT.</t>
  </si>
  <si>
    <t>16/07/2025 a 15/08/2025</t>
  </si>
  <si>
    <t>036/2025</t>
  </si>
  <si>
    <t>SETASC-PRO-2025/07420</t>
  </si>
  <si>
    <t>DOMINGOS SÁVIO QUEIROZ PORTO-ME</t>
  </si>
  <si>
    <t>06/08/2025 a 05/08/2026</t>
  </si>
  <si>
    <t>035/2025</t>
  </si>
  <si>
    <t>SETASC-PRO-2024/10251</t>
  </si>
  <si>
    <t>CENTRO EDUCACIONAL D’ PAULA LTDA</t>
  </si>
  <si>
    <t xml:space="preserve">O objeto do presente instrumento refere-se à contratação de empresa especializada em desenvolvimento de método de estimulação cognitiva, para realização de oficinas em atendimento às crianças de 04 a 12 anos de idade do Programa SER Família Criança, por intermédio da Secretaria de Estado de Assistência Social e Cidadania – SETASC/MT, ficando a empresa contratada responsável pelo fornecimento dos materiais e profissionais necessários para a execução das oficinas, na modalidade presencial, conforme as condições estabelecidas no Termo de Referência. </t>
  </si>
  <si>
    <t>22/07/2025 a 21/07/2027</t>
  </si>
  <si>
    <t>034/2025</t>
  </si>
  <si>
    <t>SETASC-PRO-2025/04878</t>
  </si>
  <si>
    <t>GEOI2 TECNOLOGIA DA INFORMAÇÃO LTDA</t>
  </si>
  <si>
    <t>PARCELA ÚNICA</t>
  </si>
  <si>
    <t>O objeto do presente instrumento é a aquisição de licença de 
softwares para atender as demandas da Secretaria de Estado de Assistência 
Social e Cidadania - SETASC/MT.</t>
  </si>
  <si>
    <t>28/05/2025 a 27/05/2026</t>
  </si>
  <si>
    <t>033/2025</t>
  </si>
  <si>
    <t>SETASC-PRO-2025/04881</t>
  </si>
  <si>
    <t>TOTALCAD COMERCIO E SERVIÇOS TECNOLÓGICOS LTDA</t>
  </si>
  <si>
    <t>O objeto do presente instrumento é a aquisição de licença de 
softwares para atender as demandas da Secretaria de Estado de Assistência 
Social e Cidadania - SETASC/MT</t>
  </si>
  <si>
    <t>032/2025</t>
  </si>
  <si>
    <t>SETASC-PRO-2025/04879</t>
  </si>
  <si>
    <t>MCR SISTEMAS E CONSULTORIA LTDA</t>
  </si>
  <si>
    <t>O objeto do presente instrumento é a aquisição de licença de 
softwares para atender as demandas da Secretaria de Estado de Assistência 
Social e Cidadania - SETASC/MT.</t>
  </si>
  <si>
    <t>29/05/2005 a 28/05/2026</t>
  </si>
  <si>
    <t>031/2025</t>
  </si>
  <si>
    <t>SETASC-PRO-2025/03076</t>
  </si>
  <si>
    <t>ORBE SOLUÇÕES LTDA</t>
  </si>
  <si>
    <t>O objeto do presente instrumento refere-se à aquisição de
suprimentos de informática para atender as demandas da Secretaria de
Estado de Assistência Social e Cidadania - SETASC/MT.</t>
  </si>
  <si>
    <t>11/06/2025 a 10/06/2025</t>
  </si>
  <si>
    <t>030/2025</t>
  </si>
  <si>
    <t>SETASC-PRO-2025/06532</t>
  </si>
  <si>
    <t>CONSTRUMAIS MATERIAIS PARA 
CONSTRUÇÃO LTDA</t>
  </si>
  <si>
    <t xml:space="preserve">O objeto do presente instrumento refere-se à aquisição de materiais de consumo, sendo material fotográfico, para recompor o estoque do Almoxarifado.
</t>
  </si>
  <si>
    <t>029/2025</t>
  </si>
  <si>
    <t>SETASC-PRO-2025/06376</t>
  </si>
  <si>
    <t>PRIME COMÉRCIO E CONSULTORIA EM LICITAÇÕES LTDA</t>
  </si>
  <si>
    <t xml:space="preserve">O objeto do presente instrumento refere-se à aquisição de materiais de consumo, sendo expediente; limpeza e higiene, para recompor o estoque do Almoxarifado. </t>
  </si>
  <si>
    <t>13/05/2025 a 12/05/2026</t>
  </si>
  <si>
    <t>028/2025</t>
  </si>
  <si>
    <t>SETASC-PRO-2025/06315</t>
  </si>
  <si>
    <t>LUASI PAPÉIS E LIVROS LTDA</t>
  </si>
  <si>
    <t>09/05/2025 a 08/05/2026</t>
  </si>
  <si>
    <t>027/2025</t>
  </si>
  <si>
    <t>SETASC-PRO-2025/06318</t>
  </si>
  <si>
    <t>INFORTOUCH – AGÊNCIA DE COMUNICAÇÃO, EVENTOS E PRODUTOS ALIMENTÍCIOS LTDA</t>
  </si>
  <si>
    <t>O objeto do presente instrumento é a contratação de empresa especializada na prestação de serviços em eventos, sendo ESTRUTURAS (GRADES); MESA; CADEIRA; CAIXA TÉRMICA E CAMINHÃO PALCO, conforme descrições; quantitativos; condições e exigências estabelecidas no instrumento contratual.</t>
  </si>
  <si>
    <t>026/2025</t>
  </si>
  <si>
    <t>SETASC-PRO-2025/03079</t>
  </si>
  <si>
    <t>PRIME INFO SOLUÇÕES EM TECNOLOGIA LTDA</t>
  </si>
  <si>
    <t xml:space="preserve"> O objeto do presente instrumento refere-se à aquisição de  suprimentos de informática para atender as demandas da Secretaria de  Estado de Assistência Social e Cidadania - SETASC/MT.</t>
  </si>
  <si>
    <t>025/2025</t>
  </si>
  <si>
    <t>SETASC-PRO-2025/03343</t>
  </si>
  <si>
    <t>3D PROJETOS E ASSESSORIA EM INFORMÁTICA LTDA</t>
  </si>
  <si>
    <t>O objeto do presente instrumento refere-se à aquisição de material permanente, sendo eletrodomésticos (frigobar compacto), para
atender às demandas da Secretaria de Estado de Assistência Social e Cidadania - SETASC/MT.</t>
  </si>
  <si>
    <t>14/05/2025 a 13/05/2026</t>
  </si>
  <si>
    <t>023/2025</t>
  </si>
  <si>
    <t>SETASC-PRO-2025/05661</t>
  </si>
  <si>
    <t>BASSIQUE-COMÉRCIO E SERVIÇOS DE
LOCAÇÕES LTDA</t>
  </si>
  <si>
    <t>O objeto do presente instrumento é a contratação de empresa
especializada na prestação de serviços em eventos, sendo TENDAS,
conforme descrições; quantitativos; condições e exigências estabelecidas
no instrumento contratual.</t>
  </si>
  <si>
    <t>15/05/2025 a 14/05/2026</t>
  </si>
  <si>
    <t>022/2025</t>
  </si>
  <si>
    <t>SETASC-PRO-2025/05660</t>
  </si>
  <si>
    <t>SETTE LOCAÇÃO DE SOM LUZ E PALCO
LTDA</t>
  </si>
  <si>
    <t>O objeto do presente instrumento é a contratação de empresa
especializada na prestação de serviços em eventos, sendo SONORIZAÇÃO
e ILUMINAÇÃO, conforme descrições; quantitativos; condições e exigências
estabelecidas no instrumento contratual.</t>
  </si>
  <si>
    <t>021/2025</t>
  </si>
  <si>
    <t>SETASC-PRO-2025/05659</t>
  </si>
  <si>
    <t>EMPRESA ATHENA PRODUÇÕES E EVENTOS LTDA</t>
  </si>
  <si>
    <t>O objeto do presente instrumento é a contratação de empresa especializada na prestação de serviços em eventos, sendo KIT LANCHES, conforme descrições; quantitativos; condições e exigências estabelecidas no instrumento contratual.</t>
  </si>
  <si>
    <t>020/2025</t>
  </si>
  <si>
    <t>SETASC-PRO-2025/05658</t>
  </si>
  <si>
    <t>VTPRINT OUTDOOR E GRÁFICA LTDA</t>
  </si>
  <si>
    <t>O objeto do presente instrumento é a contratação de empresa especializada na prestação de serviços em eventos, sendo SACOLAS PARA EMBALAGENS PERSONALIZADAS, conforme descrições; quantitativos; condições e exigências estabelecidas no instrumento contratual.</t>
  </si>
  <si>
    <t>019/2025</t>
  </si>
  <si>
    <t>SETASC-PRO-2025/03345</t>
  </si>
  <si>
    <t>EMPRESA AC EQUIPAMENTOS E ELETRODOMÉSTICOS LTDA</t>
  </si>
  <si>
    <t>O objeto do presente instrumento refere-se à aquisição de
material permanente, sendo eletrodomésticos (refrigerador duplex), para
atender às demandas da Secretaria de Estado de Assistência Social e
Cidadania - SETASC/MT.</t>
  </si>
  <si>
    <t>018/2025</t>
  </si>
  <si>
    <t>SETASC-PRO-2025/05456</t>
  </si>
  <si>
    <t>SSG SOLUÇÕES LTDA</t>
  </si>
  <si>
    <t>objeto do presente instrumento refere-se à copos descartáveis
de 50 e 180 ml, para atender a SETASC e suas unidades descentralizadas.</t>
  </si>
  <si>
    <t>017/2025</t>
  </si>
  <si>
    <t>SETASC-PRO-2025/05455</t>
  </si>
  <si>
    <t>PRIME COMERCIO E CONSULTORIA EM
LICITAÇÃO LTDA</t>
  </si>
  <si>
    <t>O objeto do presente instrumento refere-se à Aquisição de café e chá mate, para atender a SETASC e suas unidades descentralizadas.</t>
  </si>
  <si>
    <t>013/2025</t>
  </si>
  <si>
    <t>SETASC-PRO-2024/11439</t>
  </si>
  <si>
    <t>SERRA MOBILE INDUSTRIA E COMERCIO LTDA</t>
  </si>
  <si>
    <t>O objeto do presente instrumento refere-se à aquisição de Bens Mobiliários (cadeira, poltrona, longarina e sofá) para atendimento às demandas da SECRETARIA DE ESTADO DE ASSISTÊNCIA SOCIAL E CIDADANIA – SETASC/MT, no âmbito de Cuiabá e Várzea Grande, conforme especificações e condições técnicas constantes no Edital e em seus anexos, que deriva da adesão à Ata de Registro de Preços nº 011/2024/SEPLAG, decorrente do Pregão Eletrônico nº 005/2024/SEPLAG, nas condições estabelecidas no Termo de Referência.</t>
  </si>
  <si>
    <t>16/04/2025 a 15/04/2026</t>
  </si>
  <si>
    <t>012/2025</t>
  </si>
  <si>
    <t xml:space="preserve">SETASC-PRO-2024/11438 </t>
  </si>
  <si>
    <t>MILANFLEX INDUSTRIA E COMERCIO DE MÓVEIS E EQUIPAMENTOS LTDA.</t>
  </si>
  <si>
    <t>O objeto do presente instrumento refere-se à aquisição de Bens Mobiliários (cadeira, poltrona, longarina e sofá) para atendimento às demandas dos SECRETARIA DE ESTADO DE ASSISTÊNCIA SOCIAL E CIDADANIA – SETASC/MT, no âmbito de Cuiabá e Várzea Grande, conforme especificações e condições técnicas constantes no Edital e em seus anexos, que deriva da adesão à Ata de Registro de Preços nº 011/2024/SEPLAG, decorrente do Pregão Eletrônico nº 005/2024/SEPLAG, nas condições estabelecidas no Termo de Referência.</t>
  </si>
  <si>
    <t>011/2025</t>
  </si>
  <si>
    <t>SETASC-PRO-2025/00411</t>
  </si>
  <si>
    <t>BILACORP VIAGENS E TURISMO LTDA</t>
  </si>
  <si>
    <t>O objeto do presente instrumento é a contratação de empresa especializada na prestação de serviços de agenciamento e fornecimento de passagens aéreas nacionais e internacionais por meio de ferramenta on-line de autoagendamento (self-booking), para atender aos Órgãos/Entidades do Poder Executivo Estadual, nas condições estabelecidas no Termo de Referência.</t>
  </si>
  <si>
    <t>27/03/2025 a 26/03/2027</t>
  </si>
  <si>
    <t>010/2025</t>
  </si>
  <si>
    <t>SETASC-PRO-2025/03894</t>
  </si>
  <si>
    <t>ESTHER GEDALIA SUEZ CALDERON</t>
  </si>
  <si>
    <t>O objeto do presente instrumento refere-se à aquisição/contratação de material gráfico e de comunicação visual da SETASC – sacolas de tecido (BOLSA/ECOBAG).</t>
  </si>
  <si>
    <t>04/04/2025 a 03/04/2026</t>
  </si>
  <si>
    <t>009/2025</t>
  </si>
  <si>
    <t>SETASC-PRO-2025/03893</t>
  </si>
  <si>
    <t>EMKT LTDA.-ME</t>
  </si>
  <si>
    <t>O objeto do presente instrumento refere-se à aquisição/contratação de material gráfico e de comunicação visual da SETASC.</t>
  </si>
  <si>
    <t>31/03/2025 a 30/03/2026</t>
  </si>
  <si>
    <t>008/2025</t>
  </si>
  <si>
    <t>SETASC-PRO-2025/03890</t>
  </si>
  <si>
    <t>COMÉRCIO E REPRESENTAÇÕES VARDASCA LTDA.</t>
  </si>
  <si>
    <t>O objeto do presente instrumento refere-se à aquisição/contratação de material gráfico e de comunicação visual da SETASC - BACK DROPS, BANNERS, FAIXAS; BOTTONS, CRACHÁS EM PVC e PAPEL PARA IMPRESSORA EM BRAILLE.</t>
  </si>
  <si>
    <t>24/03/2025 A 23/03/2026</t>
  </si>
  <si>
    <t>007/2025</t>
  </si>
  <si>
    <t>SETASC-PRO-2025/03888</t>
  </si>
  <si>
    <t>VTPRINT OUTDOOR E GRÁFICA LTDA.</t>
  </si>
  <si>
    <t>O objeto do presente instrumento refere-se à aquisição/contratação de material gráfico e de comunicação visual da SETASC – blocos, cartazes, certificados, convites, crachás em papelão, envelopes, folders, panfletos pastas e ventarolas.</t>
  </si>
  <si>
    <t>26/03/2025 A 25/03/2026</t>
  </si>
  <si>
    <t>006/2025</t>
  </si>
  <si>
    <t>SETASC-PRO-2025/03798</t>
  </si>
  <si>
    <t>4D DESIGNER GRÁFICA EDITORA E COMUNICAÇÃO VISUAL EIRELI</t>
  </si>
  <si>
    <t>25/03/2025 a 24/03/2026</t>
  </si>
  <si>
    <t>005/2025</t>
  </si>
  <si>
    <t>SETASC-PRO-2025/03397</t>
  </si>
  <si>
    <t xml:space="preserve">ASSOCIAÇÃO AMIGOS METROVIÁRIOS EXCEPCIONAIS - AME </t>
  </si>
  <si>
    <t>MENSAL</t>
  </si>
  <si>
    <t>Contratação de pessoa jurídica especializada e
apta a prestar serviços de INTERMEDIAÇÃO, INTERPRETAÇÃO e TRADUÇÃO de LIBRAS
(Língua Brasileira de Sinais) para Português, e vice-versa, por meio de
Plataforma Digital Inteligente – Central de Libras On-line. -</t>
  </si>
  <si>
    <t>28/03/2025 a 27/03/2027</t>
  </si>
  <si>
    <t>004/2025</t>
  </si>
  <si>
    <t>SETASC-PRO-2024/11187</t>
  </si>
  <si>
    <t>RM SUPPLIES TECNOLOGIA LTDA.</t>
  </si>
  <si>
    <t>O objeto do presente instrumento refere-se à contratação de licença de software com uma plataforma de atendimento rápido, através da ferramenta de Chatbot, sendo ela o WhatsApp, para gestão de atendimento e atender as demandas da Secretaria de Estado de Assistência Social e Cidadania de Mato Grosso e dos programas do SER FAMÍLIA com a população.</t>
  </si>
  <si>
    <t>26/02/2025 a 25/02/2026</t>
  </si>
  <si>
    <t>003/2025</t>
  </si>
  <si>
    <t>SETASC-PRO-2024/09548</t>
  </si>
  <si>
    <t>SENAI – SERVIÇO NACIONAL DE APRENDIZAGEM INDUSTRIAL</t>
  </si>
  <si>
    <t xml:space="preserve">Contratação do SENAI – Serviço Nacional de Aprendizagem Industrial, para ministrar cursos de qualificação profissional e social atendendo aos requisitos do Plano de Ações e Serviços - PAS do Sistema Nacional de Emprego - SINE para o bloco de ações e serviços "Qualificação Social e Profissional”. </t>
  </si>
  <si>
    <t>06/05/2025 a 05/05/2026</t>
  </si>
  <si>
    <t>002/2025</t>
  </si>
  <si>
    <t>SETASC-PRO-2025/00225</t>
  </si>
  <si>
    <t>SSG SOLUÇÕES LTDA.</t>
  </si>
  <si>
    <t>O objeto do presente instrumento refere-se à aquisição de materiais de consumo (expediente, limpeza e higiene), para recompor o estoque do Almoxarifado.</t>
  </si>
  <si>
    <t>30/01/2025 a 29/01/2026</t>
  </si>
  <si>
    <t>001/2025</t>
  </si>
  <si>
    <t>SETASC-PRO-2025/00218</t>
  </si>
  <si>
    <t>CYAN PAPELARIA E MATERIAIS DE INFORMÁTICA LTDA</t>
  </si>
  <si>
    <t>056/2024</t>
  </si>
  <si>
    <t>SETASC-PRO-2024/10115</t>
  </si>
  <si>
    <t>A.W.G. COMÉRCIO E SERVIÇOS LTDA. - EPP</t>
  </si>
  <si>
    <t>Contratação de empresa especializada na prestação de serviços continuados na manutenção preventiva e corretiva de aparelhos condicionadores de ar, para atender às necessidades da SETASC - Secretaria de Estado de Assistência Social e Cidadania e suas unidades.</t>
  </si>
  <si>
    <t>19/12/2024 a 18/12/2025</t>
  </si>
  <si>
    <t>052/2024</t>
  </si>
  <si>
    <t>SETASC-PRO-2024/08496</t>
  </si>
  <si>
    <t>META EXTINTORES LTDA. – EPP</t>
  </si>
  <si>
    <t>O objeto do presente instrumento refere-se à aquisição de material, sendo mangueira, recarga de tipo pó químico, válvula e suporte para extintores de incêndio, para atender às demandas da SETASC – Secretaria de Estado de Assistência Social e Cidadania, que deriva da Adesão Participe à Ata de Registro de Preços nº 002/2024/SEPLAG, decorrente do Pregão Eletrônico nº 029/2023/SEPLAG, em conformidade com o Instrumento Simplificado de Formalização da Demanda apresentado e demais anexos, independente de transcrição.</t>
  </si>
  <si>
    <t>02/12/2024 a 01/12/2025</t>
  </si>
  <si>
    <t>051/2024</t>
  </si>
  <si>
    <t>SETASC-PRO-2024/08490</t>
  </si>
  <si>
    <t>P.R.P. BORGES COMÉRCIO EIRELI</t>
  </si>
  <si>
    <t>Aquisição de material permanente, sendo 15 (quinze) unidades de extintores de incêndio - tipo pó químico ABC, para atender às demandas da SETASC - Secretaria de Estado de Assistência Social e Cidadania.</t>
  </si>
  <si>
    <t>11/12/2024 a 10/12/2025</t>
  </si>
  <si>
    <t>050/2024</t>
  </si>
  <si>
    <t>SETASC-PRO-2024/09278</t>
  </si>
  <si>
    <t>COMERCIAL CARIACICA MULTIMODAL LTDA</t>
  </si>
  <si>
    <t>Aquisição de 208.000 (duzentas e oito mil) cestas básicas, para atender as demadnas da Secretaria de Estado de Assistência Social e Cidadania - SETASC.</t>
  </si>
  <si>
    <t>049/2024</t>
  </si>
  <si>
    <t>SETASC-PRO-2024/09126</t>
  </si>
  <si>
    <t>IRMÃOS DOMINGOS LTDA.</t>
  </si>
  <si>
    <t>Aquisição de 72.000 (setenta e duas mil) cestas básicas e 100.000 (cem mil) cestas - Kits especiais de Natal, para atender as demandas da Secretaria de Estado de Assistência Social e Cidadania - SETASC.</t>
  </si>
  <si>
    <t>01/11/2024 a 31/10/2025</t>
  </si>
  <si>
    <t>040/2024</t>
  </si>
  <si>
    <t>SETASC-PRO-2024/08226</t>
  </si>
  <si>
    <t>G&amp;L INDÚSTRIA E COMÉRCIO LTDA</t>
  </si>
  <si>
    <t>O objeto do presente instrumento é à contratação de empresa especializada em confecção de camisetas personalizadas para uso dos servidores em eventos da Secretaria de Estado de Assistência Social e Cidadania – SETASC/MT e unidades descentralizadas.</t>
  </si>
  <si>
    <t>02/10/2024 a 01/10/2026</t>
  </si>
  <si>
    <t>037/2024</t>
  </si>
  <si>
    <t>SETASC-PRO-2024/06571</t>
  </si>
  <si>
    <t>SUPERAR COMÉRCIODE MÓVEIS PARA ESCRITÓRIO LTDA</t>
  </si>
  <si>
    <t>O objeto do presente instrumento refere-se à aquisição de material permanente, sendo SUPORTE DE PAREDE FIXO PARA TV DE LCD,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</si>
  <si>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23/09/2024 a 22/09/2025</t>
  </si>
  <si>
    <t>036/2024</t>
  </si>
  <si>
    <t>SETASC-PRO-2024/06568</t>
  </si>
  <si>
    <t>REPREMIG REPRESENTAÇÃO E COMÉRCIO DE MINAS GERAIS LTDA.</t>
  </si>
  <si>
    <t>O objeto do presente instrumento refere-se à aquisição de material permanente, sendo SMART Tv’s LED,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</si>
  <si>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035/2024</t>
  </si>
  <si>
    <t>SETASC-PRO-2024/06573</t>
  </si>
  <si>
    <t>ÉRICA DE FÁTIMA GENTIL IORIS LTDA.</t>
  </si>
  <si>
    <t xml:space="preserve">DEMANDA </t>
  </si>
  <si>
    <t>O objeto do presente instrumento refere-se à aquisição de material permanente, sendo SUPORTES DE PAREDE,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</si>
  <si>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034/2024</t>
  </si>
  <si>
    <t>SETASC-PRO-2024/06569</t>
  </si>
  <si>
    <t>MICROSENS S.A.</t>
  </si>
  <si>
    <t>O objeto do presente instrumento refere-se à aquisição de material permanente, sendo SMART Tv’s, para atender as demandas da SETASC – Secretaria de Estado de Assistência Social e Cidadania, que deriva da Adesão Participe à Ata de Registro de Preços nº 024/2023/SEPLAG, decorrente do Pregão Eletrônico nº 023/2023/SEPLAG, em conformidade com o Instrumento Simplificado de Formalização da Demanda apresentado e demais anexos, independente de transcrição.</t>
  </si>
  <si>
    <t>26/09/2024 a 25/09/2025</t>
  </si>
  <si>
    <t>033/2024</t>
  </si>
  <si>
    <t>SETASC-PRO-2024/06785</t>
  </si>
  <si>
    <t>LUA SERVIÇOS LTDA</t>
  </si>
  <si>
    <t>O objeto do presente instrumento refere-se à prestação de serviços continuados de Apoio Administrativo para os perfis Auxiliar Administrativo, para atender as demandas da SETASC – Secretaria de Estado de Assistência Social e Cidadania, que deriva da Adesão Participe à Ata de Registro de Preços nº 005/2024/SEPLAG, decorrente do Pregão Eletrônico nº 002/2024/SEPLAG, em conformidade com o Instrumento Simplificado de Formalização da Demanda apresentado e demais anexos, independente de transcrição.</t>
  </si>
  <si>
    <t>032/2024</t>
  </si>
  <si>
    <t>SETASC-PRO-2024/06882</t>
  </si>
  <si>
    <t>DINAMICA CLIPPING E COMUNICAÇÃO LTDA.</t>
  </si>
  <si>
    <t>Contratação de empresa especializada na prestação de serviço de monitoramento de informações digitais e impressas (SERVIÇOS DE CLIPPING JORNALÍSTICO).</t>
  </si>
  <si>
    <t>031/2024</t>
  </si>
  <si>
    <t>SETASC-PRO-2024/05767</t>
  </si>
  <si>
    <t>GIBBOR PUBLICIDADE E PUBLICAÇÕES DE EDITAIS LTDA.-EPP.</t>
  </si>
  <si>
    <t>Contratação de empresa especializada na publicação de matérias em jornais (circulação nacional e estadual).</t>
  </si>
  <si>
    <t>12/08/2024 a 11/08/2025</t>
  </si>
  <si>
    <t>029/2024</t>
  </si>
  <si>
    <t>SETASC-PRO-2024/05511</t>
  </si>
  <si>
    <t>ATM SOLUÇÕES EM SERVIÇOS LTDA</t>
  </si>
  <si>
    <t>Contratação de uma licença de software com uma plataforma de atendimento rápido, através da ferramenta de Chatbot, sendo elas o WhatsApp, para gestão de atendimento e atender a demanda da Secretaria Adjunta de Proteção e Defesa dos Direitos do Consumidor - PROCON/SETASC.</t>
  </si>
  <si>
    <t>08/08/2024 a 07/08/2026</t>
  </si>
  <si>
    <t>028/2024</t>
  </si>
  <si>
    <t>SETASC-PRO-2024/05670</t>
  </si>
  <si>
    <t>O objeto do presente instrumento refere-se à contratação de empresa especializada na prestação de serviços de apoio logístico e fornecimento de materiais para eventos, atos e solenidades, sendo som, iluminação e imagem,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</si>
  <si>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13/08/2024 a 12/08/2025</t>
  </si>
  <si>
    <t>027/2024</t>
  </si>
  <si>
    <t>SETASC-PRO-2024/05669</t>
  </si>
  <si>
    <t>EVENTUAL LIVE MARKETING LTDA</t>
  </si>
  <si>
    <t>O objeto do presente instrumento refere-se à contratação de empresa especializada na prestação de serviços de apoio logístico e fornecimento de materiais para eventos, atos e solenidades, sendo estande,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</si>
  <si>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 xml:space="preserve">01/08/2024 a 31/07/2025 </t>
  </si>
  <si>
    <t>R$ 4.580,84</t>
  </si>
  <si>
    <t>026/2024</t>
  </si>
  <si>
    <t xml:space="preserve">SETASC-PRO-2024/05667 </t>
  </si>
  <si>
    <t>ATIVA LOCAÇÃO LTDA.</t>
  </si>
  <si>
    <t>O objeto do presente instrumento refere-se à contratação de empresa especializada na prestação de serviços de apoio logístico e fornecimento de materiais para eventos, atos e solenidades, sendo banheiros químicos,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</si>
  <si>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02/08/2024 a 01/08/2025</t>
  </si>
  <si>
    <t>025/2024</t>
  </si>
  <si>
    <t>SETASC-PRO-2024/05666</t>
  </si>
  <si>
    <t>INFORTOUCH, AGÊNCIA DE COMUNICAÇÃO, EVENTOS E PRODUTOS ALIMENTÍCIOS LTDA</t>
  </si>
  <si>
    <t>O objeto do presente instrumento refere-se à contratação de empresa especializada na prestação de serviços de apoio logístico e fornecimento de materiais para eventos, atos e solenidades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t>
  </si>
  <si>
    <t>24/07/2024 a 23/07/2025</t>
  </si>
  <si>
    <t>024/2024</t>
  </si>
  <si>
    <t>SETASC-PRO-2024/05237</t>
  </si>
  <si>
    <t>UGOLINI CAMPOS EIRELI EPP.</t>
  </si>
  <si>
    <t>O objeto do presente instrumento refere-se à aquisição de material de consumo, sendo, água mineral, natural, sem gás, acondicionada em garrafão de polipropileno, com capacidade para 20 (vinte) litros, para atender às demandas da Secretaria de Estado de Assistência Social e Cidadania - SETASC, que deriva da Adesão Participe à Ata de Registro de Preços nº 008/2024/SEPLAG, decorrente do Pregão Eletrônico nº 009/2024/SEPLAG, em conformidade com o Instrumento Simplificado de Formalização da Demanda apresentado e demais anexos, independente de transcrição.</t>
  </si>
  <si>
    <t>03/07/2024 a 02/07/2026</t>
  </si>
  <si>
    <t>023/2024</t>
  </si>
  <si>
    <t>SETASC-PRO-2024/04758</t>
  </si>
  <si>
    <t>CENTER ART CERÂMICA LTDA</t>
  </si>
  <si>
    <t>O objeto do presente instrumento refere-se à aquisição de filtros de barro cerâmico para filtragem de água para distribuição às famílias em situação de vulnerabilidade social, que deriva da Adesão Participe à Ata de Registro de Preços nº 001/2024/SETASC, decorrente do Pregão Eletrônico nº 003/2024/SETASC, em conformidade com o Instrumento Simplificado de Formalização da Demanda apresentado e demais anexos, independente de transcrição.</t>
  </si>
  <si>
    <t>05/07/2024 a 04/07/2026</t>
  </si>
  <si>
    <t>020/2024</t>
  </si>
  <si>
    <t>SETASC-PRO-2024/04613</t>
  </si>
  <si>
    <t>G&amp;E SERVIÇOS TERCEIRIZADOS LTDA.</t>
  </si>
  <si>
    <t>O objeto do presente instrumento refere-se a contratação de empresa especializada em prestação de serviços contínuos de terceirização de mão de obra de motorista (carteira B), para atender às demandas da Secretaria de Estado de Assistência Social e Cidadania – SETASC-MT, que deriva da Adesão Participe à Ata de Registro de Preços nº 011/2023/SEPLAG, decorrente do Pregão Eletrônico nº 019/2022/SEPLAG, em conformidade com o Instrumento Simplificado de Formalização da Demanda, apresentado e demais anexos, independente de transcrição.</t>
  </si>
  <si>
    <t>08/07/2024 a 07/07/2026</t>
  </si>
  <si>
    <t>017/2024</t>
  </si>
  <si>
    <t>SETASC-PRO-2024/04266</t>
  </si>
  <si>
    <t>Aquisição de material de consumo, sendo, 200 (duzentas) unidades de vasilhames para acondicionamento de água mineral, em polipropileno, novo, sem avarias e sem fissuras, com capacidade de 20 litros, para atender às demandas da Secretaria de Estado de Assistência Social e Cidadania - SETASC</t>
  </si>
  <si>
    <t>18/06/2024 a 17/06/2026</t>
  </si>
  <si>
    <t>011/2024</t>
  </si>
  <si>
    <t>SETASC-PRO-2024/03718</t>
  </si>
  <si>
    <t>PIRES DE MIRANDA E CIA LTDA EPP</t>
  </si>
  <si>
    <t>O objeto do presente instrumento é à contratação de empresa especializada para a prestação, sendo fornecimento de alimentação preparada tipo buffet (almoço e jantar), coffee break, kit lanche e outros, nos municípios de Cuiabá e Várzea Grande/MT.</t>
  </si>
  <si>
    <t>14/05/2024 a 13/05/2026</t>
  </si>
  <si>
    <t>010/2024</t>
  </si>
  <si>
    <t>SETASC-PRO-2024/03100</t>
  </si>
  <si>
    <t>GASOLINI COMÉRCIO E SERVIÇOS LTDA.</t>
  </si>
  <si>
    <t>O objeto do presente instrumento refere-se à aquisição de material de consumo, sendo gás de cozinha 13 KG e vasilhame de acondicionamento de 13Kg vazio, para atendimento a demanda da Secretaria de Estado de Assistência Social e Cidadania - SETASC, que deriva da Adesão Participe à Ata de Registro de Preços nº 025/2023/SEPLAG, decorrente do Pregão Eletrônico nº 025/2023/SEPLAG, em conformidade com o Instrumento Simplificado de Formalização da Demanda apresentado e demais anexos, independente de transcrição.</t>
  </si>
  <si>
    <t>20/05/2024 a 19/05/2026</t>
  </si>
  <si>
    <t>005/2024</t>
  </si>
  <si>
    <t>SETASC-PRO-2024/00819</t>
  </si>
  <si>
    <t>OI S.A</t>
  </si>
  <si>
    <t>O objeto do presente instrumento refere-se à contratação de serviço especializado de Telefonia Fixa Comutada, na modalidade Local, Serviço Telefônico Comutado de Longa Distância Nacional - LDN e Longa Distância Internacional - LDI (tecnologia E1), originários de terminais fixos, que deriva da Adesão Carona à Ata de Registro de Preços nº 023/2023/SEPLAG, decorrente do Pregão Eletrônico nº 024/2023/SEPLAG, nas condições estabelecidas no Termo de Referência.</t>
  </si>
  <si>
    <t>27/03/2024 a 26/03/2026</t>
  </si>
  <si>
    <t>064/2023</t>
  </si>
  <si>
    <t>SETASC-PRO-2023/09962</t>
  </si>
  <si>
    <t>G&amp;E SERVIÇOS TERCEIRIZADOS LTDA</t>
  </si>
  <si>
    <t>O objeto do presente instrumento refere-se a contratação de empresa especializada em prestação de serviços contínuos de terceirização de mão de obra de motorista (carteira B), para atender às demandas da Secretaria de Estado de Assistência Social e Cidadania – SETASC-MT, que deriva da Adesão Participe à Ata de Registro de Preços nº 011/2023/SEPLAG, decorrente do Pregão Eletrônico nº 019/2022/SEPLAG, em conformidade com o Termo de Referência/ Instrumento Simplificado de Formalização da Demanda, apresentado e demais anexos, independente de transcrição.</t>
  </si>
  <si>
    <t>20/12/2023 a 19/12/2025</t>
  </si>
  <si>
    <t>060/2023</t>
  </si>
  <si>
    <t>SETASC-PRO-2023/10585</t>
  </si>
  <si>
    <t>CAPRIATA DE SOUZA LIMA E SOUZA LIMA LTDA.-ME</t>
  </si>
  <si>
    <t>O objeto do presente instrumento é aquisição de kits de doces para distribuição em datas comemorativas às crianças em situação de vulnerabilidade social.</t>
  </si>
  <si>
    <t>05/12/2023 a 04/12/2025</t>
  </si>
  <si>
    <t>058/2023</t>
  </si>
  <si>
    <t>SETASC-PRO-2023/10250</t>
  </si>
  <si>
    <t>LM ORGANIZAÇÃO HOTELARIA LTDA.</t>
  </si>
  <si>
    <t>O objeto do presente instrumento é à contratação de empresa especializada para a prestação de serviços de hospedagem com alimentação nos municípios de Cuiabá/MT e Várzea Grande/MT.</t>
  </si>
  <si>
    <t>30/11/2023 a 29/11/2025</t>
  </si>
  <si>
    <t>057/2023</t>
  </si>
  <si>
    <t>SETASC-PRO-2023/09083</t>
  </si>
  <si>
    <t>CS BRASIL FROTAS S.A.</t>
  </si>
  <si>
    <t>O objeto do presente instrumento refere-se a contratação de empresa especializada na prestação de serviços de locação de veículos administrativos, categoria minivan (sem motorista e sem combustível), devidamente licenciados junto ao DETRAN, com quilometragem livre, incluindo seguro, monitoramento por sistema GPS/GSM/GPRS, manutenção veicular, insulfilm e adesivagem para atender aos da Secretaria de Estado de Assistência Social e Cidadania- SETASC e suas unidades descentralizadas, que deriva da Adesão Participe à Ata de Registro de Preços nº 013/2023/SEPLAG, decorrente do Pregão Eletrônico nº 008/2023/SEPLAG, em conformidade com o Termo de Referência apresentado e demais anexos, independente de transcrição.</t>
  </si>
  <si>
    <t>29/11/2023 a 28/11/2025</t>
  </si>
  <si>
    <t>056/2023</t>
  </si>
  <si>
    <t>SETASC-PRO-2023/09201</t>
  </si>
  <si>
    <t>O objeto do presente instrumento refere-se a contratação de empresa especializada na prestação de serviços de locação de veículos administrativos, categoria sedan (sem motorista e sem combustível), devidamente licenciados junto ao DETRAN, com quilometragem livre, incluindo seguro, monitoramento por sistema GPS/GSM/GPRS, manutenção veicular, insulfilm e adesivagem para atender aos da Secretaria de Estado de Assistência Social e Cidadania- SETASC e suas unidades descentralizadas, que deriva da Adesão Participe à Ata de Registro de Preços nº 005/2023/SEPLAG, decorrente do Pregão Eletrônico nº 003/2023/SEPLAG, em conformidade com o Termo de Referência apresentado e demais anexos, independente de transcrição.</t>
  </si>
  <si>
    <t>055/2023</t>
  </si>
  <si>
    <t>SETASC-PRO-2023/09123</t>
  </si>
  <si>
    <t>SUPER ESTÁGIOS LTDA.</t>
  </si>
  <si>
    <t>O objeto do presente instrumento refere-se à contratação de serviços para agenciamento de estudantes do ensino médio, e pós-graduação (lato e stricto sensu), para preenchimento de bolsas de estágio, em atendimento à demanda, em atendimento à demanda da Secretaria de Estado de Assistência Social e Cidadania – SETASC e suas descentralizadas, que deriva da Adesão Participe à Ata de Registro de Preços nº 012/2023/SEPLAG, decorrente do Pregão Eletrônico nº 012/2023/SEPLAG, em conformidade com o Termo de Referência apresentado e demais anexos, independente de transcrição.</t>
  </si>
  <si>
    <t>28/11/2023 a 27/11/2025</t>
  </si>
  <si>
    <t>054/2023</t>
  </si>
  <si>
    <t>SETASC-PRO-2023/09120</t>
  </si>
  <si>
    <t>UNIVERSIDADE PATATIVA DO ASSARÉ</t>
  </si>
  <si>
    <t>O objeto do presente instrumento refere-se à contratação de serviços para agenciamento de estudantes de graduação, para preenchimento de bolsas de estágio, em atendimento à demanda da Secretaria de Estado de Assistência Social e Cidadania – SETASC e suas descentralizadas, que deriva da Adesão Participe à Ata de Registro de Preços nº 012/2023/SEPLAG, decorrente do Pregão Eletrônico nº 012/2023/SEPLAG, em conformidade com o Termo de Referência apresentado e demais anexos, independente de transcrição.</t>
  </si>
  <si>
    <t>21/11/2023 a 20/11/2025</t>
  </si>
  <si>
    <t>044/2023</t>
  </si>
  <si>
    <t>SETASC-PRO-2023/08073</t>
  </si>
  <si>
    <t>REFEIÇÕES NORTE SUL EIRELI.</t>
  </si>
  <si>
    <t>O objeto do presente instrumento é à contratação de serviço especializado de fornecimento de refeição preparada para desenvolver as atividades de gestão e manutenção do Restaurante Prato Popular, unidade Cuiabá, com fornecimento de refeições de qualidade, à população em insegurança alimentar nutricional, a preços acessíveis para atender a demanda da Secretaria de Estado de Assistência Social e Cidadania – SETASC-MT, nos termos da tabela abaixo, conforme condições e exigências estabelecidas neste instrumento.</t>
  </si>
  <si>
    <t>19/09/2023 a 18/09/2025  (NÃO VAI PRORROGAR)</t>
  </si>
  <si>
    <t>043/2023</t>
  </si>
  <si>
    <t>SETASC-PRO-2023/07718</t>
  </si>
  <si>
    <t>R. GONÇALVES DE CARVALHO EIRELI</t>
  </si>
  <si>
    <t>O objeto do presente instrumento é a contratação pessoa jurídica especializada na prestação de serviço de locação de 01 (uma) empilhadeira, incluindo mão de obra (operador capacitado), combustível e todos os custos necessários para prestação do serviço, nos termos da tabela abaixo, conforme condições e exigências estabelecidas neste instrumento.</t>
  </si>
  <si>
    <t>12/09/2023 a 11/09/2025</t>
  </si>
  <si>
    <t>035/2023</t>
  </si>
  <si>
    <t>SETASC-PRO-2023/05303</t>
  </si>
  <si>
    <t>ARARAÚNA TURISMO ECOLÓGICO LTDA EPP</t>
  </si>
  <si>
    <t>O objeto do presente instrumento refere-se à contratação de empresa especializada na prestação de serviços de agenciamento e fornecimento de passagens aéreas nacionais e internacionais por meio de ferramenta on-line de auto agendamento (self-booking), para atender a demanda da Secretaria de Estado de Assistência Social e Cidadania – SETASC/MT e suas unidades descentralizadas, que deriva da adesão à Ata de Registro de Preços nº 002/2023/SEPLAG, decorrente do Pregão Eletrônico nº 001/2023/SEPLAG, em conformidade com o Termo de Referência apresentado e demais anexos, independente de transcrição.</t>
  </si>
  <si>
    <t>04/08/2023 a 03/08/2025 (NÃO VAI PRORROGAR)</t>
  </si>
  <si>
    <t>030/2023</t>
  </si>
  <si>
    <t>SETASC-PRO-2023/03254</t>
  </si>
  <si>
    <t>ART CAR VEÍCULOS LTDA.</t>
  </si>
  <si>
    <t>O objeto do presente instrumento refere-se à contratação de empresa especializada na prestação de Serviços de Locação de Veículos Administrativos, categorias diversas (sem motorista e sem combustível), devidamente licenciados junto ao DETRAN, com quilometragem livre, incluindo seguro, monitoramento por sistema GPS/GSM/GPRS, manutenção veicular, insulfim e adesivagem para atender as demandas da Secretaria de Estado de Assistência Social e Cidadania- SETASC e suas unidades descentralizadas, que deriva da Adesão Participe à Ata de Registro de Preços nº 005/2023/SEPLAG, decorrente do Pregão Eletrônico nº 003/2023/SEPLAG, em conformidade com o Termo de Referência apresentado e demais anexos, independente de transcrição.</t>
  </si>
  <si>
    <t>16/05/2023 a 15/05/2026</t>
  </si>
  <si>
    <t>029/2023</t>
  </si>
  <si>
    <t>SETASC-PRO-2023/03755</t>
  </si>
  <si>
    <t>CONTINUO</t>
  </si>
  <si>
    <t xml:space="preserve"> contratação de empresa especializada na prestação de Serviços de Locação de Veículos Administrativos, categorias diversas (sem motorista e sem combustível), devidamente licenciados junto ao DETRAN, com quilometragem livre, incluindo seguro, monitoramento por sistema GPS/GSM/GPRS, manutenção veicular, insulfim e adesivagem para atender as demandas da Secretaria de Estado de Assistência Social e Cidadania- SETASC e suas unidades descentralizadas, que deriva da Adesão Participe à Ata de Registro de Preços nº 005/2023/SEPLAG, decorrente do Pregão Eletrônico nº 003/2023/SEPLAG</t>
  </si>
  <si>
    <t>22/05/2023 a 14/09/2025</t>
  </si>
  <si>
    <t>028/2023</t>
  </si>
  <si>
    <t>SETASC-PRO-2023/02984</t>
  </si>
  <si>
    <t>TIM S.A.</t>
  </si>
  <si>
    <t>Contratação de empresa especializada em telecomunicações,  que possuam outorga da ANATEL -Agência Nacional de Telecomunicações, para prestação de serviços de Telefonia Móvel Pessoal(SMP -Serviço Móvel Pessoal), na modalidade Local, Serviço Telefônico Comutado de Longa Distância Nacional -LDN e Longa Distância Internacional - LDI, 
originários de terminais móveis e conexão remota, com fornecimento de aparelhos digitais e mini modems portáteis em regime de comodato, para atender as demandas da Secretaria de Estado de Assistência Social e Cidadania-SETASC e suas unidades descentralizadas, que deriva da Adesão Participe à Ata de Registro de Preços nº 004/2023/SEPLAG, decorrente do Pregão Eletrônico nº 014/2022/SEPLAG, em conformidade com o Termo de Referência apresentado e demais anexos, independente de transcrição</t>
  </si>
  <si>
    <t>19/05/2023 A 18/11/2025</t>
  </si>
  <si>
    <t>022/2023</t>
  </si>
  <si>
    <t>SETASC-PRO-2023/01577</t>
  </si>
  <si>
    <t>COSTA OESTE SERVIÇOS LTDA.</t>
  </si>
  <si>
    <t>O objeto do presente instrumento refere-se à contratação de empresa especializada na prestação de serviço continuado de limpeza, asseio, conservação, com fornecimento de mão de obra e insumos diversos necessários à execução dos serviços, compreendendo as áreas internas e externas para atender a Secretaria de Estado de Assistência Social e Cidadania- Setasc e suas unidades descentralizadas, que deriva da Adesão à Ata de Registro de Preços nº. 010/2022/SEPLAG, decorrente do Pregão Eletrônico nº 018/2021/SEPLAG, em conformidade com o Termo de Referência apresentado e demais anexos, independente de transcrição.</t>
  </si>
  <si>
    <t>12/04/2023 a 11/04/2026</t>
  </si>
  <si>
    <t>023/2023</t>
  </si>
  <si>
    <t>SETASC-PRO-2023/02390</t>
  </si>
  <si>
    <t>LE CARD ADMINISTRADORA DE CARTÕES LTDA.</t>
  </si>
  <si>
    <t>Contratação de empresa especializada na prestação de serviços de implantação, gerenciamento e administração de cartões destinados a transferência de renda para atendimento ao Programa SER Família.</t>
  </si>
  <si>
    <t>06/04/2023 a 05/04/2027</t>
  </si>
  <si>
    <t>083/2022</t>
  </si>
  <si>
    <t>SETASC-PRO-2022/07400</t>
  </si>
  <si>
    <t>DDMIX TERCEIRIZAÇÃO EIRELI</t>
  </si>
  <si>
    <t>Contratação de empresa especializada em prestação de serviços contínuos de terceirização de mão de obra de Motorista (carteiras B e D) para atender a demanda da Secretaria de Estado de Assistência Social e Cidadania - SETASC.</t>
  </si>
  <si>
    <t>16/11/2022 a 15/11/2026</t>
  </si>
  <si>
    <t>R$ 2.579.482,55</t>
  </si>
  <si>
    <t>077/2022</t>
  </si>
  <si>
    <t>SETASC-PRO-2022/04594</t>
  </si>
  <si>
    <t>INFORTOUCH AGÊNCIA DE COMUNICAÇÃO, EVENTOS E PRODUTOS ALIMENTÍCIOS EIRELI EPP</t>
  </si>
  <si>
    <t>prestação de serviços de apoio logístico e fornecimento de materiais para eventos, atos e solenidades, para atender os Órgãos/Entidades do Poder Executivo de Mato Grosso</t>
  </si>
  <si>
    <t>25/10/2023 a 24/10/2025</t>
  </si>
  <si>
    <t>072/2022</t>
  </si>
  <si>
    <t>SETASC-PRO-2022/04196</t>
  </si>
  <si>
    <t>SERVIÇO NACIONAL DE APRENDIZAGEM INDUSTRIAL – SENAI/MT.</t>
  </si>
  <si>
    <t>Contratação de empresa especializada para ministrar cursos de qualificação profissional e social atendendo aos requisitos do Projeto “Capacita Mato Grosso”.</t>
  </si>
  <si>
    <t>07/10/2022 a 06/10/2026</t>
  </si>
  <si>
    <t>R$ 39.728.760,20</t>
  </si>
  <si>
    <t>071/2022</t>
  </si>
  <si>
    <t>SETASC-PRO-2022/05691</t>
  </si>
  <si>
    <t>O objeto do presente instrumento refere-se à contratação de empresa especializada na prestação de serviços de Vigilância Armada e Desarmada para atender a Secretaria de Estado de Assistência Social e Cidadania – SETASC, e suas unidades descentralizadas, conforme especificações e condições técnicas constantes no Edital  e em seus anexos, que deriva da Adesão à Ata de Registro de Preços nº 011/2022/SEPLAG, decorrente do Pregão Eletrônico nº 019/2021/SEPLAG, em conformidade com o Termo de Referência apresentado e demais anexos, independente de transcrição.</t>
  </si>
  <si>
    <t>20/10/2022 a 19/10/2025</t>
  </si>
  <si>
    <t>R$ 1.051.272,16</t>
  </si>
  <si>
    <t>070/2022</t>
  </si>
  <si>
    <t>SETASC-PRO-2022/05372</t>
  </si>
  <si>
    <t>GR8 INFORMÁTICA E TECNOLOGIA LTDA.</t>
  </si>
  <si>
    <t>O objeto do presente Contrato consiste na contratação de licença anual de uso temporário de software SaaS de gestão educacional para Gestão do Programa SER Criança para atendimento à Lei Estadual nº 11.445 de 02 de julho de 2021, por intermédio da SETASC, conforme especificações constantes na proposta e respectivo Termo de Referência.</t>
  </si>
  <si>
    <t>08/09/2022 a 07/09/2025</t>
  </si>
  <si>
    <t>069/2022</t>
  </si>
  <si>
    <t>SETASC-PRO-2022/04648</t>
  </si>
  <si>
    <t>TMF CONSTRUTORA E SERVIÇOS EIRELI - EPP</t>
  </si>
  <si>
    <t xml:space="preserve">CONTINUO </t>
  </si>
  <si>
    <t>O presente Contrato tem por objeto “a contratação de empresa capacitada, que sob demanda, prestará serviços comuns de engenharia com fornecimento de peças, equipamentos, materiais e mão de obra, com percentual desconto a ser aplicado na forma estabelecida em planilhas de serviços e insumos, constantes na tabela do Sistema Nacional de Pesquisa de Custos e Índices da Construção Civil, doravante denominada TABELA SINAPI (sem desoneração) vigentes, estabelecida para o Estado de Mato Grosso, para atender a CONTRATANTE, acrescido do BDI”, conforme as especificações constantes neste contrato.</t>
  </si>
  <si>
    <t>28/11/2022 a 27/06/2025</t>
  </si>
  <si>
    <t>067/2022</t>
  </si>
  <si>
    <t>SETASC-PRO-2022/04968</t>
  </si>
  <si>
    <t>LUA SERVIÇOS EIRELI.</t>
  </si>
  <si>
    <t>O objeto do presente instrumento refere-se à contratação de empresa especializada na prestação de serviço continuado de limpeza, asseio, conservação e jardinagem, com fornecimento de mão-de-obra e insumos diversos necessários à execução dos serviços, compreendendo as áreas internas e externas, dos bens móveis e imóveis pertencentes a CONTRATANTE, que deriva da ADESÃO à Ata de Registro de Preços nº 010/2022/SEPLAG, decorrente do Pregão Eletrônico nº 018/2021/SEPLAG, em conformidade com o Termo de Referência apresentado e demais anexos independente de transcrição.</t>
  </si>
  <si>
    <t xml:space="preserve">16/08/2023 
a 15/08/2025
</t>
  </si>
  <si>
    <t>058/2022</t>
  </si>
  <si>
    <t>SETASC-PRO-2022/03645</t>
  </si>
  <si>
    <t>NOVO SABOR REFEIÇÕES COLETIVAS LTDA.</t>
  </si>
  <si>
    <t>Contratação de empresa especializada para preparação, produção e fornecimento contínuos de refeições e lanches para crianças dentro das dependências do Programa Ser Criança Poconé-MT (Região VI), seguindo as especificações e demais condições estabelecidas neste Termo de Referência</t>
  </si>
  <si>
    <t>27/6/2022 à 26/06/2026</t>
  </si>
  <si>
    <t>053/2022</t>
  </si>
  <si>
    <t>SETASC-PRO-2022/01378</t>
  </si>
  <si>
    <t>PRIME CONSULTORIA E ASSESSORIA EMPRESARIAL LTDA.</t>
  </si>
  <si>
    <t>O objeto do presente instrumento refere-se à contratação de empresa especializada na prestação de serviços continuados de Abastecimento e Controle do Fornecimento de Combustíveis (Gasolina comum, Etanol comum, Diesel comum, Diesel S10 e Gás Natural Veicular - GNV) em rede de postos credenciados no território nacional, com implantação e operação de sistema informatizado e integrado, acessível via web, dispondo de tecnologia de registro da operação de abastecimento com segurança e modernidade, visando ao abastecimento de veículos, motores estacionários e embarcações oficiais para Secretaria de Estado de Assistência Social e Cidadania – SETASC/MT e suas unidades descentralizadas, conforme especificações e condições técnicas constantes neste Edital e em seus anexos, que deriva da Adesão à Ata de Registro de Preços nº 005/2022/SEPLAG, decorrente do Pregão Eletrônico nº 017/2021/SEPLAG, em conformidade com o Termo de Referência apresentado e demais anexos, independente de transcrição.</t>
  </si>
  <si>
    <t>06/06/2022 à 05/06/2026</t>
  </si>
  <si>
    <t>049/2022</t>
  </si>
  <si>
    <t xml:space="preserve">SETASC-PRO-2022/01655 </t>
  </si>
  <si>
    <t>SUPRIDATAS</t>
  </si>
  <si>
    <t>O objeto do presente instrumento refere-se à contratação de empresa especializada na prestação de serviços de manutenção preventiva e corretiva, com fornecimento de materiais e peças, desmontagem, transporte e remontagem de sistemas de arquivos deslizantes, para atender a Secretaria de Estado de Assistência Social e Cidadania – SETASC/MT</t>
  </si>
  <si>
    <t>11/05/2022 A 10/05/2026</t>
  </si>
  <si>
    <t>041/2022</t>
  </si>
  <si>
    <t>SETASC-PRO-2022/00614</t>
  </si>
  <si>
    <t>ALLEGRATUR AGÊNCIA DE VIAGENS E TURISMO LTDA.-EPP</t>
  </si>
  <si>
    <t>contratação de empresa especializada na prestação de serviços de locação de veículo tipo micro-ônibus e van, para transporte de passageiros, para atender a demanda da SECRETARIA DE ESTADO DE ASSISTÊNCIA SOCIAL E CIDADANIA – SETASC-MT.</t>
  </si>
  <si>
    <t>04/05/2022 a 03/05/2026</t>
  </si>
  <si>
    <t>015/2022</t>
  </si>
  <si>
    <t>SETASC-PRO-2022/00987</t>
  </si>
  <si>
    <t>PRIME CONSULTORIA</t>
  </si>
  <si>
    <t>Adesão a Ata de Registro de Preços 001/2022/SEPLAG para contratação de empresa especializada na prestação de serviços continuados de gerenciamento e controle da manutenção preventiva, corretiva e preditiva da frota de veículos, incluindo toda tecnologia embarcada e mão de obra a serem empregadas na prestação dos serviços, cumulada com lavagem, polimento de pintura, assistência de socorro mecânico, assistência em caso de pane elétrica, lanternagem em geral, adesivagem/plotagem, capotaria, tapeçaria e pintura com reposição de peças originais novas de primeiro uso, troca de pneu, acessórios, componentes e materiais além de transporte por reboque/guincho, com implantação e operação de sistema informatizado e integrado para gestão de frota, acessível via web, por intermédio de rede de estabelecimentos credenciados, para atender as demandas da SETASC/MT e suas unidades descentralizadas.</t>
  </si>
  <si>
    <t>072/2021</t>
  </si>
  <si>
    <t>SETASC-PRO-2022/00461</t>
  </si>
  <si>
    <t>ADSERVI ADMINISTRADORA DE SERVIÇOS LTDA</t>
  </si>
  <si>
    <t xml:space="preserve">O objeto do presente instrumento refere-se à contratação de empresa especializada em prestação de serviços contínuos de terceirização de mão-de-obra de Oficial de Serviços Gerais para atender a demanda da SETASC </t>
  </si>
  <si>
    <t>08/11/2022 a 07/11/2025</t>
  </si>
  <si>
    <t>071/2021</t>
  </si>
  <si>
    <t>SETASC-PRO-2022/00612</t>
  </si>
  <si>
    <t>ORBENK ADMINISTRAÇÃO E SERVIÇOS LTDA</t>
  </si>
  <si>
    <t>O objeto do presente instrumento refere-se à contratação de empresa especializada em prestação de serviços contínuos de terceirização de mão-de-obra de Recepcionista e Copeiro(a) para atender a demanda da SETASC – SECRETARIA DE ESTADO DE ASSISTÊNCIA SOCIAL E CIDADANIA</t>
  </si>
  <si>
    <t>04/11/2022 a 03/11/2025</t>
  </si>
  <si>
    <t>035/2021</t>
  </si>
  <si>
    <t>SETASC-PRO-2022/00460</t>
  </si>
  <si>
    <t>CID IMÓVEIS EIRELI EPP</t>
  </si>
  <si>
    <t>O objeto do presente Contrato consiste na locação de imóvel situado no endereço Rua Jornalista Amaro de Figueiredo Falcão matricula n° 109.282 folha 039, livro 2, em 21-01-2013, no 6° Serviço Notarial e Registro de Imóveis da Terceira Circunscrição Imobiliária, finalidade de Instalação temporária da sede da SECRETARIA DE ESTADO DE ASSISTÊNCIA SOCIAL E CIDADANIA – SETASC/MT.</t>
  </si>
  <si>
    <t>03/09/2023 a 02/09/2025</t>
  </si>
  <si>
    <t>034/2021</t>
  </si>
  <si>
    <t>SETASC-PRO-2022/00777</t>
  </si>
  <si>
    <t>PHILIP OBRIEN DANZMANN FERREIRA</t>
  </si>
  <si>
    <t>Aquisição de Solução de Backup com armazenamento em nuvem e local, para garantir a integridade, segurança e disponibilidade dos dados contidos em todos os equipamentos servidores da SETASC/MT.</t>
  </si>
  <si>
    <t>27/07/2021 A 26/07/2025 (não pode prorrogar)</t>
  </si>
  <si>
    <t>002/2021</t>
  </si>
  <si>
    <t>SETASC-PRO-2022/02542</t>
  </si>
  <si>
    <t xml:space="preserve">MTI- EMPRESA MATO GROSSENSE DE TECNOLOGIA DA INFORMAÇÃO - PROCON   </t>
  </si>
  <si>
    <t>Prestação de serviços corporativos continuado de tecnologia da informação a fim de atender à Secretaria de Estado de Assistência Social e Cidadania- SETASC e suas unidades descentralizadas.</t>
  </si>
  <si>
    <t>06/07/2021 A 06/07/2026</t>
  </si>
  <si>
    <t>003/2021</t>
  </si>
  <si>
    <t>SETASC-PRO-2022/00836</t>
  </si>
  <si>
    <t>CORREIOS</t>
  </si>
  <si>
    <t>Contratação de produtos e serviços por meio de Pacote de Serviços dos CORREIOS - Empresa Brasileira de Correios e Telégrafos, conforme o Termo de Condições Comerciais e Anexos que permite a compra de produtos e utilização dos diversos serviços dos CORREIOS através dos canais de atendimento disponibilizados para atender a SETASC e suas unidades descentralizadas.</t>
  </si>
  <si>
    <t>26/01/2021 A 26/01/2026</t>
  </si>
  <si>
    <t>023/2020</t>
  </si>
  <si>
    <t>SETASC-PRO-2022/00804</t>
  </si>
  <si>
    <t>TMF CONSTRUÇÕES E SERVIÇOS EIRELLI</t>
  </si>
  <si>
    <t>Contratação de empresa que, sob demanda, prestará serviços de manutenção predial preventiva (visita periódica) e corretiva (eventuais), com fornecimento de peças, equipamentos, materiais e mão de obra, com o maior desconto a ser aplicado na forma estabelecida em planilhas de serviços e insumos, constantes da TABELA SINAPI, visando atender a demanda da SECRETARIA DE ESTADO DE ASSISTÊNCIA SOCIAL E CIDADANIA - SETASC/MT, que deriva do PREGÃO ELETRÔNICO: N° 002/2020/GOVERNADORIA.</t>
  </si>
  <si>
    <t>24/11/2020 a 23/11/2025  (última vigência - não pode prorrogar)</t>
  </si>
  <si>
    <t>021/2020</t>
  </si>
  <si>
    <t>SETASC-PRO-2022/00416</t>
  </si>
  <si>
    <t>W. A. EQUIPAMENTOS E SERVIÇOS LTDA</t>
  </si>
  <si>
    <t>contratação de empresa especializada na prestação de serviços especializados em SOLUÇÃO DE OUTSOURCING (impressão, cópia e digitalização) e GERENCIAMENTO DE IMPRESSÃO DEPARTAMENTAL, incluindo disponibilização de equipamentos novos, de primeiro uso e em linha de produção, manutenção preventiva e corretiva, fornecimento e reposição de peças e insumos/consumíveis (incluso papel), além de instalação de software necessário para a operacionalização e gerenciamento de ativos e bilhetagem das páginas.</t>
  </si>
  <si>
    <t>04/01/2020 A 03/01/2026 (última vigência - não pode prorrogar)</t>
  </si>
  <si>
    <t>014/2020</t>
  </si>
  <si>
    <t>SETASC-PRO-2022/04997</t>
  </si>
  <si>
    <t xml:space="preserve">NP CAPACITAÇÃO E SOLUÇÕES TECNOLÓGICAS LTDA </t>
  </si>
  <si>
    <t>Contratação de empresa especializada para a disponibilização de assinatura da ferramenta de pesquisa Banco de Preços</t>
  </si>
  <si>
    <t>19/09/2020 a 18/09/2025 (última vigência - não pode prorrogar)</t>
  </si>
  <si>
    <t>012/2020</t>
  </si>
  <si>
    <t>SETASC-PRO-2022/00417</t>
  </si>
  <si>
    <t>INTERLAGOS LOCADORA DE VEÍCULOS LTDA ME</t>
  </si>
  <si>
    <t>Prestação de serviços de locação de veículos, tipo caminhonetes, tipo econômico e van, para atender á SETASC e suas unidades descentralizadas</t>
  </si>
  <si>
    <t>22/08/2020 a 21/08/2025 (última vigência - não pode prorrogar)</t>
  </si>
  <si>
    <t>009/2020</t>
  </si>
  <si>
    <t>SETASC-PRO-2022/00408</t>
  </si>
  <si>
    <t>ANDRE CABRAL DE AQUINO EIRELI - ME</t>
  </si>
  <si>
    <t>Contratação de empresa especializada em coleta e entrega de documentos e pequenas cargas, sendo serviços não realizados pela Empresa Brasileira de Correios e Telégrafos – ECT, por meio de motocicleta com baú e condutor devidamente habilitado e identificado, denominado Serviços de Motofrete, para atender a SETASC/MT.</t>
  </si>
  <si>
    <t>20/07/2020 a 19/07/2025 (última vigência - não pode prorrogar)</t>
  </si>
  <si>
    <t>017/2019</t>
  </si>
  <si>
    <t>SETASC-PRO-2022/00345</t>
  </si>
  <si>
    <t>DDMIX CONTROLE DE PRAGAS E SERVIÇOS LTDA – ME</t>
  </si>
  <si>
    <t>Contratação de pessoa jurídica para prestação de serviços continuados, com fornecimento de mão de obra exclusiva para Copeira, Recepcionista, Auxiliar de Almoxarife e Motorista, para atender às necessidades da Secretaria de Estado de Assistência Social e Cidadania – SETASC</t>
  </si>
  <si>
    <t>04/09/2019 a 03/09/2025 (última vigência-excepcional - não pode prorrogar)</t>
  </si>
  <si>
    <t>043/2017</t>
  </si>
  <si>
    <t>SETASC-PRO-2022/00418</t>
  </si>
  <si>
    <t>CAMPOS E SILVA (CRDH)</t>
  </si>
  <si>
    <t xml:space="preserve">Consite em locação de imovel para instalação do Centro de Referenciaem direitos humanos em Caceres.  </t>
  </si>
  <si>
    <t>18/09/2027 a 17/09/2025</t>
  </si>
  <si>
    <t>011/2015</t>
  </si>
  <si>
    <t>SETASC-PRO-2022/00255</t>
  </si>
  <si>
    <t>VARZEA GRANDE SHOPPPING</t>
  </si>
  <si>
    <t>O presente tem por objeto a locação de ESPAÇO COMERCIAL do empreendimento denominado VÁRZEA GRANDE SHOPPING, para implantação do Ganha Tempo, com numeração e área indicadas, respectivamente, nos itens 02 e 03 do RIC, perfeitamente identificado e caracterizado na PLANTA.</t>
  </si>
  <si>
    <t>16/11/2020 a 16/11/2028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</si>
</sst>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 -416]#,##0.00"/>
    <numFmt numFmtId="165" formatCode="&quot;R$&quot;#,##0.0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49" xfId="0" applyFont="1" applyNumberFormat="1"/>
    <xf borderId="0" fillId="0" fontId="1" numFmtId="0" xfId="0" applyFont="1"/>
    <xf borderId="0" fillId="0" fontId="1" numFmtId="164" xfId="0" applyFont="1" applyNumberFormat="1"/>
    <xf borderId="0" fillId="0" fontId="1" numFmtId="165" xfId="0" applyFont="1" applyNumberFormat="1"/>
    <xf borderId="0" fillId="0" fontId="1" numFmtId="164" xfId="0" applyFont="1" applyNumberFormat="1"/>
    <xf borderId="0" fillId="0" fontId="1" numFmtId="49" xfId="0" applyFont="1" applyNumberFormat="1"/>
    <xf borderId="0" fillId="0" fontId="1" numFmtId="4" xfId="0" applyFont="1" applyNumberFormat="1"/>
    <xf borderId="0" fillId="0" fontId="1" numFmtId="49" xfId="0" applyFont="1" applyNumberFormat="1"/>
    <xf borderId="0" fillId="0" fontId="1" numFmtId="1" xfId="0" applyFont="1" applyNumberFormat="1"/>
    <xf borderId="0" fillId="0" fontId="2" numFmtId="0" xfId="0" applyFont="1"/>
  </cellXfs>
  <cellStyles count="1">
    <cellStyle xfId="0" name="Normal" builtinId="0"/>
  </cellStyles>
  <dxfs count="3">
    <dxf>
      <font/>
      <fill>
        <patternFill patternType="none"/>
      </fill>
      <border/>
    </dxf>
    <dxf>
      <font/>
      <fill>
        <patternFill patternType="solid">
          <fgColor rgb="FFFEF8E3"/>
          <bgColor rgb="FFFEF8E3"/>
        </patternFill>
      </fill>
      <border/>
    </dxf>
    <dxf>
      <font/>
      <fill>
        <patternFill patternType="solid">
          <fgColor rgb="FFFFFFFF"/>
          <bgColor rgb="FFFFFFFF"/>
        </patternFill>
      </fill>
      <border/>
    </dxf>
  </dxfs>
  <tableStyles count="4">
    <tableStyle count="2" pivot="0" name="CONTRATOS-style">
      <tableStyleElement dxfId="1" type="firstRowStripe"/>
      <tableStyleElement dxfId="2" type="secondRowStripe"/>
    </tableStyle>
    <tableStyle count="2" pivot="0" name="CONTRATOS-style 2">
      <tableStyleElement dxfId="1" type="firstRowStripe"/>
      <tableStyleElement dxfId="2" type="secondRowStripe"/>
    </tableStyle>
    <tableStyle count="2" pivot="0" name="CONTRATOS-style 3">
      <tableStyleElement dxfId="1" type="firstRowStripe"/>
      <tableStyleElement dxfId="2" type="secondRowStripe"/>
    </tableStyle>
    <tableStyle count="2" pivot="0" name="CONTRATOS-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C9" displayName="Table_1" name="Table_1" id="1">
  <tableColumns count="3">
    <tableColumn name="Column1" id="1"/>
    <tableColumn name="Column2" id="2"/>
    <tableColumn name="Column3" id="3"/>
  </tableColumns>
  <tableStyleInfo name="CONTRATOS-style" showColumnStripes="0" showFirstColumn="1" showLastColumn="1" showRowStripes="1"/>
</table>
</file>

<file path=xl/tables/table2.xml><?xml version="1.0" encoding="utf-8"?>
<table xmlns="http://schemas.openxmlformats.org/spreadsheetml/2006/main" headerRowCount="0" ref="E2:F9" displayName="Table_2" name="Table_2" id="2">
  <tableColumns count="2">
    <tableColumn name="Column1" id="1"/>
    <tableColumn name="Column2" id="2"/>
  </tableColumns>
  <tableStyleInfo name="CONTRATOS-style 2" showColumnStripes="0" showFirstColumn="1" showLastColumn="1" showRowStripes="1"/>
</table>
</file>

<file path=xl/tables/table3.xml><?xml version="1.0" encoding="utf-8"?>
<table xmlns="http://schemas.openxmlformats.org/spreadsheetml/2006/main" headerRowCount="0" ref="A10:D24" displayName="Table_3" name="Table_3" id="3">
  <tableColumns count="4">
    <tableColumn name="Column1" id="1"/>
    <tableColumn name="Column2" id="2"/>
    <tableColumn name="Column3" id="3"/>
    <tableColumn name="Column4" id="4"/>
  </tableColumns>
  <tableStyleInfo name="CONTRATOS-style 3" showColumnStripes="0" showFirstColumn="1" showLastColumn="1" showRowStripes="1"/>
</table>
</file>

<file path=xl/tables/table4.xml><?xml version="1.0" encoding="utf-8"?>
<table xmlns="http://schemas.openxmlformats.org/spreadsheetml/2006/main" headerRowCount="0" ref="E10:F24" displayName="Table_4" name="Table_4" id="4">
  <tableColumns count="2">
    <tableColumn name="Column1" id="1"/>
    <tableColumn name="Column2" id="2"/>
  </tableColumns>
  <tableStyleInfo name="CONTRATO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gadoc.mt.gov.br/sigaex/app/expediente/doc/exibir?sigla=SETASC-PRO-2023/08073"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row>
    <row r="2">
      <c r="A2" s="3" t="s">
        <v>21</v>
      </c>
      <c r="B2" s="4" t="s">
        <v>22</v>
      </c>
      <c r="C2" s="4" t="s">
        <v>23</v>
      </c>
      <c r="D2" s="5"/>
      <c r="E2" s="4" t="s">
        <v>24</v>
      </c>
      <c r="F2" s="4" t="s">
        <v>25</v>
      </c>
      <c r="G2" s="5"/>
      <c r="H2" s="5"/>
      <c r="I2" s="5"/>
      <c r="J2" s="5"/>
      <c r="K2" s="5"/>
      <c r="L2" s="5"/>
      <c r="M2" s="5"/>
      <c r="N2" s="5"/>
      <c r="O2" s="5"/>
      <c r="P2" s="5">
        <v>22000.0</v>
      </c>
      <c r="Q2" s="6">
        <v>22000.0</v>
      </c>
      <c r="R2" s="6">
        <v>22000.0</v>
      </c>
      <c r="S2" s="5">
        <v>0.0</v>
      </c>
      <c r="T2" s="5">
        <v>0.0</v>
      </c>
    </row>
    <row r="3">
      <c r="A3" s="3" t="s">
        <v>26</v>
      </c>
      <c r="B3" s="4" t="s">
        <v>27</v>
      </c>
      <c r="C3" s="4" t="s">
        <v>28</v>
      </c>
      <c r="D3" s="5"/>
      <c r="E3" s="4" t="s">
        <v>29</v>
      </c>
      <c r="F3" s="4"/>
      <c r="G3" s="5"/>
      <c r="H3" s="5"/>
      <c r="I3" s="5"/>
      <c r="J3" s="5"/>
      <c r="K3" s="5"/>
      <c r="L3" s="5"/>
      <c r="M3" s="5"/>
      <c r="N3" s="5"/>
      <c r="O3" s="5"/>
      <c r="P3" s="5">
        <v>54699.0</v>
      </c>
      <c r="Q3" s="6">
        <v>28848.0</v>
      </c>
      <c r="R3" s="5">
        <v>0.0</v>
      </c>
      <c r="S3" s="5">
        <v>54699.0</v>
      </c>
      <c r="T3" s="5">
        <v>25851.0</v>
      </c>
    </row>
    <row r="4">
      <c r="A4" s="3" t="s">
        <v>30</v>
      </c>
      <c r="B4" s="4" t="s">
        <v>31</v>
      </c>
      <c r="C4" s="4" t="s">
        <v>32</v>
      </c>
      <c r="D4" s="5"/>
      <c r="E4" s="4" t="s">
        <v>33</v>
      </c>
      <c r="F4" s="4"/>
      <c r="G4" s="5"/>
      <c r="H4" s="5"/>
      <c r="I4" s="5"/>
      <c r="J4" s="5"/>
      <c r="K4" s="5"/>
      <c r="L4" s="5"/>
      <c r="M4" s="5"/>
      <c r="N4" s="5"/>
      <c r="O4" s="5"/>
      <c r="P4" s="5">
        <v>490263.0</v>
      </c>
      <c r="Q4" s="5">
        <v>0.0</v>
      </c>
      <c r="R4" s="5">
        <v>0.0</v>
      </c>
      <c r="S4" s="5">
        <v>490263.0</v>
      </c>
      <c r="T4" s="5">
        <v>490263.0</v>
      </c>
    </row>
    <row r="5">
      <c r="A5" s="3" t="s">
        <v>34</v>
      </c>
      <c r="B5" s="4" t="s">
        <v>35</v>
      </c>
      <c r="C5" s="4" t="s">
        <v>36</v>
      </c>
      <c r="D5" s="5"/>
      <c r="E5" s="4" t="s">
        <v>29</v>
      </c>
      <c r="F5" s="4"/>
      <c r="G5" s="5"/>
      <c r="H5" s="5"/>
      <c r="I5" s="5"/>
      <c r="J5" s="5"/>
      <c r="K5" s="5"/>
      <c r="L5" s="5"/>
      <c r="M5" s="5"/>
      <c r="N5" s="5"/>
      <c r="O5" s="5"/>
      <c r="P5" s="5">
        <v>238040.0</v>
      </c>
      <c r="Q5" s="5">
        <v>0.0</v>
      </c>
      <c r="R5" s="5">
        <v>0.0</v>
      </c>
      <c r="S5" s="5">
        <v>238040.0</v>
      </c>
      <c r="T5" s="5">
        <v>238040.0</v>
      </c>
    </row>
    <row r="6">
      <c r="A6" s="3" t="s">
        <v>37</v>
      </c>
      <c r="B6" s="4" t="s">
        <v>38</v>
      </c>
      <c r="C6" s="4" t="s">
        <v>39</v>
      </c>
      <c r="D6" s="5"/>
      <c r="E6" s="4" t="s">
        <v>40</v>
      </c>
      <c r="F6" s="4" t="s">
        <v>41</v>
      </c>
      <c r="G6" s="5"/>
      <c r="H6" s="5"/>
      <c r="I6" s="5"/>
      <c r="J6" s="5"/>
      <c r="K6" s="5"/>
      <c r="L6" s="5"/>
      <c r="M6" s="5"/>
      <c r="N6" s="5"/>
      <c r="O6" s="5"/>
      <c r="P6" s="5">
        <v>254992.0</v>
      </c>
      <c r="Q6" s="5">
        <v>0.0</v>
      </c>
      <c r="R6" s="5">
        <v>0.0</v>
      </c>
      <c r="S6" s="5">
        <v>254992.0</v>
      </c>
      <c r="T6" s="5">
        <v>254992.0</v>
      </c>
    </row>
    <row r="7">
      <c r="A7" s="3" t="s">
        <v>42</v>
      </c>
      <c r="B7" s="4" t="s">
        <v>43</v>
      </c>
      <c r="C7" s="4" t="s">
        <v>44</v>
      </c>
      <c r="D7" s="5"/>
      <c r="E7" s="4" t="s">
        <v>45</v>
      </c>
      <c r="F7" s="4" t="s">
        <v>46</v>
      </c>
      <c r="G7" s="5"/>
      <c r="H7" s="5"/>
      <c r="I7" s="5"/>
      <c r="J7" s="5"/>
      <c r="K7" s="5"/>
      <c r="L7" s="5"/>
      <c r="M7" s="5"/>
      <c r="N7" s="5"/>
      <c r="O7" s="5"/>
      <c r="P7" s="5">
        <v>986900.0</v>
      </c>
      <c r="Q7" s="5">
        <v>0.0</v>
      </c>
      <c r="R7" s="5">
        <v>0.0</v>
      </c>
      <c r="S7" s="5">
        <v>986900.0</v>
      </c>
      <c r="T7" s="5">
        <v>986900.0</v>
      </c>
    </row>
    <row r="8">
      <c r="A8" s="3" t="s">
        <v>47</v>
      </c>
      <c r="B8" s="4" t="s">
        <v>48</v>
      </c>
      <c r="C8" s="4" t="s">
        <v>49</v>
      </c>
      <c r="D8" s="5"/>
      <c r="E8" s="4" t="s">
        <v>50</v>
      </c>
      <c r="F8" s="4" t="s">
        <v>51</v>
      </c>
      <c r="G8" s="5"/>
      <c r="H8" s="5"/>
      <c r="I8" s="5"/>
      <c r="J8" s="5"/>
      <c r="K8" s="5"/>
      <c r="L8" s="5"/>
      <c r="M8" s="5"/>
      <c r="N8" s="5"/>
      <c r="O8" s="5"/>
      <c r="P8" s="6">
        <v>2477.49</v>
      </c>
      <c r="Q8" s="6">
        <v>2477.49</v>
      </c>
      <c r="R8" s="5">
        <v>0.0</v>
      </c>
      <c r="S8" s="5">
        <v>2477.49</v>
      </c>
      <c r="T8" s="5">
        <v>0.0</v>
      </c>
    </row>
    <row r="9">
      <c r="A9" s="3" t="s">
        <v>52</v>
      </c>
      <c r="B9" s="4" t="s">
        <v>53</v>
      </c>
      <c r="C9" s="4" t="s">
        <v>54</v>
      </c>
      <c r="D9" s="5"/>
      <c r="E9" s="4" t="s">
        <v>55</v>
      </c>
      <c r="F9" s="4" t="s">
        <v>56</v>
      </c>
      <c r="G9" s="5"/>
      <c r="H9" s="5"/>
      <c r="I9" s="5"/>
      <c r="J9" s="5"/>
      <c r="K9" s="5"/>
      <c r="L9" s="5"/>
      <c r="M9" s="5"/>
      <c r="N9" s="5"/>
      <c r="O9" s="5"/>
      <c r="P9" s="5">
        <v>365400.0</v>
      </c>
      <c r="Q9" s="6">
        <v>86350.0</v>
      </c>
      <c r="R9" s="5">
        <v>0.0</v>
      </c>
      <c r="S9" s="5">
        <v>365400.0</v>
      </c>
      <c r="T9" s="5">
        <v>279050.0</v>
      </c>
    </row>
    <row r="10">
      <c r="A10" s="3" t="s">
        <v>57</v>
      </c>
      <c r="B10" s="4" t="s">
        <v>58</v>
      </c>
      <c r="C10" s="4" t="s">
        <v>59</v>
      </c>
      <c r="D10" s="7" t="s">
        <v>60</v>
      </c>
      <c r="E10" s="4" t="s">
        <v>61</v>
      </c>
      <c r="F10" s="4" t="s">
        <v>62</v>
      </c>
      <c r="G10" s="5"/>
      <c r="H10" s="5"/>
      <c r="I10" s="5"/>
      <c r="J10" s="5"/>
      <c r="K10" s="5"/>
      <c r="L10" s="5"/>
      <c r="M10" s="5"/>
      <c r="N10" s="5"/>
      <c r="O10" s="5"/>
      <c r="P10" s="5">
        <v>124497.48</v>
      </c>
      <c r="Q10" s="5">
        <v>124853.5</v>
      </c>
      <c r="R10" s="5">
        <v>14596.82</v>
      </c>
      <c r="S10" s="5">
        <v>109900.66</v>
      </c>
      <c r="T10" s="5">
        <v>-356.0200000000041</v>
      </c>
    </row>
    <row r="11">
      <c r="A11" s="3" t="s">
        <v>63</v>
      </c>
      <c r="B11" s="4" t="s">
        <v>64</v>
      </c>
      <c r="C11" s="4" t="s">
        <v>65</v>
      </c>
      <c r="D11" s="7" t="s">
        <v>60</v>
      </c>
      <c r="E11" s="4" t="s">
        <v>66</v>
      </c>
      <c r="F11" s="4" t="s">
        <v>67</v>
      </c>
      <c r="G11" s="5"/>
      <c r="H11" s="5"/>
      <c r="I11" s="5"/>
      <c r="J11" s="5"/>
      <c r="K11" s="5"/>
      <c r="L11" s="5"/>
      <c r="M11" s="5"/>
      <c r="N11" s="5"/>
      <c r="O11" s="5"/>
      <c r="P11" s="5">
        <v>420761.95</v>
      </c>
      <c r="Q11" s="5">
        <v>420761.95</v>
      </c>
      <c r="R11" s="5">
        <v>63315.0</v>
      </c>
      <c r="S11" s="5">
        <v>357446.95</v>
      </c>
      <c r="T11" s="5">
        <v>0.0</v>
      </c>
    </row>
    <row r="12">
      <c r="A12" s="3" t="s">
        <v>68</v>
      </c>
      <c r="B12" s="4" t="s">
        <v>69</v>
      </c>
      <c r="C12" s="4" t="s">
        <v>70</v>
      </c>
      <c r="D12" s="7" t="s">
        <v>60</v>
      </c>
      <c r="E12" s="4" t="s">
        <v>71</v>
      </c>
      <c r="F12" s="4" t="s">
        <v>67</v>
      </c>
      <c r="G12" s="5"/>
      <c r="H12" s="5"/>
      <c r="I12" s="5"/>
      <c r="J12" s="5"/>
      <c r="K12" s="5"/>
      <c r="L12" s="5"/>
      <c r="M12" s="5"/>
      <c r="N12" s="5"/>
      <c r="O12" s="5"/>
      <c r="P12" s="5">
        <v>169227.8</v>
      </c>
      <c r="Q12" s="5">
        <v>171866.05</v>
      </c>
      <c r="R12" s="5">
        <v>19401.65</v>
      </c>
      <c r="S12" s="5">
        <v>149826.15</v>
      </c>
      <c r="T12" s="5">
        <v>-2638.25</v>
      </c>
    </row>
    <row r="13">
      <c r="A13" s="3" t="s">
        <v>72</v>
      </c>
      <c r="B13" s="4" t="s">
        <v>73</v>
      </c>
      <c r="C13" s="4" t="s">
        <v>74</v>
      </c>
      <c r="D13" s="7" t="s">
        <v>60</v>
      </c>
      <c r="E13" s="4" t="s">
        <v>75</v>
      </c>
      <c r="F13" s="4" t="s">
        <v>76</v>
      </c>
      <c r="G13" s="5"/>
      <c r="H13" s="5"/>
      <c r="I13" s="5"/>
      <c r="J13" s="5"/>
      <c r="K13" s="5"/>
      <c r="L13" s="5"/>
      <c r="M13" s="5"/>
      <c r="N13" s="5"/>
      <c r="O13" s="5"/>
      <c r="P13" s="5">
        <v>2000000.0</v>
      </c>
      <c r="Q13" s="5">
        <v>2000000.0</v>
      </c>
      <c r="R13" s="5">
        <v>0.0</v>
      </c>
      <c r="S13" s="5">
        <v>2000000.0</v>
      </c>
      <c r="T13" s="5">
        <v>0.0</v>
      </c>
    </row>
    <row r="14">
      <c r="A14" s="3" t="s">
        <v>77</v>
      </c>
      <c r="B14" s="4" t="s">
        <v>78</v>
      </c>
      <c r="C14" s="4" t="s">
        <v>79</v>
      </c>
      <c r="D14" s="7" t="s">
        <v>60</v>
      </c>
      <c r="E14" s="4" t="s">
        <v>80</v>
      </c>
      <c r="F14" s="4"/>
      <c r="G14" s="5"/>
      <c r="H14" s="5"/>
      <c r="I14" s="5"/>
      <c r="J14" s="5"/>
      <c r="K14" s="5"/>
      <c r="L14" s="5"/>
      <c r="M14" s="5"/>
      <c r="N14" s="5"/>
      <c r="O14" s="5"/>
      <c r="P14" s="5">
        <v>4016778.24</v>
      </c>
      <c r="Q14" s="5">
        <v>669463.04</v>
      </c>
      <c r="R14" s="5">
        <v>0.0</v>
      </c>
      <c r="S14" s="5">
        <v>4016778.24</v>
      </c>
      <c r="T14" s="5">
        <v>3347315.2</v>
      </c>
    </row>
    <row r="15">
      <c r="A15" s="3" t="s">
        <v>81</v>
      </c>
      <c r="B15" s="4" t="s">
        <v>82</v>
      </c>
      <c r="C15" s="4" t="s">
        <v>83</v>
      </c>
      <c r="D15" s="7" t="s">
        <v>60</v>
      </c>
      <c r="E15" s="4" t="s">
        <v>84</v>
      </c>
      <c r="F15" s="4" t="s">
        <v>85</v>
      </c>
      <c r="G15" s="5"/>
      <c r="H15" s="5"/>
      <c r="I15" s="5"/>
      <c r="J15" s="5"/>
      <c r="K15" s="5"/>
      <c r="L15" s="5"/>
      <c r="M15" s="5"/>
      <c r="N15" s="5"/>
      <c r="O15" s="5"/>
      <c r="P15" s="5">
        <v>50000.0</v>
      </c>
      <c r="Q15" s="5">
        <v>50000.0</v>
      </c>
      <c r="R15" s="5">
        <v>0.0</v>
      </c>
      <c r="S15" s="5">
        <v>50000.0</v>
      </c>
      <c r="T15" s="5">
        <v>0.0</v>
      </c>
    </row>
    <row r="16">
      <c r="A16" s="3" t="s">
        <v>86</v>
      </c>
      <c r="B16" s="4" t="s">
        <v>87</v>
      </c>
      <c r="C16" s="4" t="s">
        <v>88</v>
      </c>
      <c r="D16" s="7" t="s">
        <v>60</v>
      </c>
      <c r="E16" s="4" t="s">
        <v>89</v>
      </c>
      <c r="F16" s="4" t="s">
        <v>90</v>
      </c>
      <c r="G16" s="5"/>
      <c r="H16" s="5"/>
      <c r="I16" s="5"/>
      <c r="J16" s="5"/>
      <c r="K16" s="5"/>
      <c r="L16" s="5"/>
      <c r="M16" s="5"/>
      <c r="N16" s="5"/>
      <c r="O16" s="5"/>
      <c r="P16" s="5"/>
      <c r="Q16" s="5"/>
      <c r="R16" s="5">
        <v>0.0</v>
      </c>
      <c r="S16" s="5">
        <v>0.0</v>
      </c>
      <c r="T16" s="5">
        <v>0.0</v>
      </c>
    </row>
    <row r="17">
      <c r="A17" s="3" t="s">
        <v>91</v>
      </c>
      <c r="B17" s="4" t="s">
        <v>92</v>
      </c>
      <c r="C17" s="4" t="s">
        <v>93</v>
      </c>
      <c r="D17" s="7" t="s">
        <v>60</v>
      </c>
      <c r="E17" s="4" t="s">
        <v>94</v>
      </c>
      <c r="F17" s="4" t="s">
        <v>95</v>
      </c>
      <c r="G17" s="5"/>
      <c r="H17" s="5"/>
      <c r="I17" s="5"/>
      <c r="J17" s="5"/>
      <c r="K17" s="5"/>
      <c r="L17" s="5"/>
      <c r="M17" s="5"/>
      <c r="N17" s="5"/>
      <c r="O17" s="5"/>
      <c r="P17" s="5">
        <v>46000.0</v>
      </c>
      <c r="Q17" s="5">
        <v>46000.0</v>
      </c>
      <c r="R17" s="5">
        <v>0.0</v>
      </c>
      <c r="S17" s="5">
        <v>46000.0</v>
      </c>
      <c r="T17" s="5">
        <v>0.0</v>
      </c>
    </row>
    <row r="18">
      <c r="A18" s="3" t="s">
        <v>96</v>
      </c>
      <c r="B18" s="4" t="s">
        <v>97</v>
      </c>
      <c r="C18" s="4" t="s">
        <v>98</v>
      </c>
      <c r="D18" s="7"/>
      <c r="E18" s="4" t="s">
        <v>99</v>
      </c>
      <c r="F18" s="4" t="s">
        <v>90</v>
      </c>
      <c r="G18" s="5"/>
      <c r="H18" s="5"/>
      <c r="I18" s="5"/>
      <c r="J18" s="5"/>
      <c r="K18" s="5"/>
      <c r="L18" s="5"/>
      <c r="M18" s="5"/>
      <c r="N18" s="5"/>
      <c r="O18" s="5"/>
      <c r="P18" s="5">
        <v>17920.0</v>
      </c>
      <c r="Q18" s="5">
        <v>17920.0</v>
      </c>
      <c r="R18" s="5">
        <v>0.0</v>
      </c>
      <c r="S18" s="5">
        <v>17920.0</v>
      </c>
      <c r="T18" s="5">
        <v>0.0</v>
      </c>
    </row>
    <row r="19">
      <c r="A19" s="3" t="s">
        <v>100</v>
      </c>
      <c r="B19" s="4" t="s">
        <v>101</v>
      </c>
      <c r="C19" s="4" t="s">
        <v>102</v>
      </c>
      <c r="D19" s="7" t="s">
        <v>60</v>
      </c>
      <c r="E19" s="4" t="s">
        <v>103</v>
      </c>
      <c r="F19" s="4" t="s">
        <v>104</v>
      </c>
      <c r="G19" s="5"/>
      <c r="H19" s="5"/>
      <c r="I19" s="5"/>
      <c r="J19" s="5"/>
      <c r="K19" s="5"/>
      <c r="L19" s="5"/>
      <c r="M19" s="5"/>
      <c r="N19" s="5"/>
      <c r="O19" s="5"/>
      <c r="P19" s="5">
        <v>1.2951222E7</v>
      </c>
      <c r="Q19" s="5">
        <v>874658.4</v>
      </c>
      <c r="R19" s="5">
        <v>0.0</v>
      </c>
      <c r="S19" s="5">
        <v>1.2951222E7</v>
      </c>
      <c r="T19" s="5">
        <v>1.20765636E7</v>
      </c>
    </row>
    <row r="20">
      <c r="A20" s="3" t="s">
        <v>105</v>
      </c>
      <c r="B20" s="4" t="s">
        <v>106</v>
      </c>
      <c r="C20" s="4" t="s">
        <v>107</v>
      </c>
      <c r="D20" s="7" t="s">
        <v>60</v>
      </c>
      <c r="E20" s="4" t="s">
        <v>108</v>
      </c>
      <c r="F20" s="4" t="s">
        <v>109</v>
      </c>
      <c r="G20" s="5"/>
      <c r="H20" s="5"/>
      <c r="I20" s="5"/>
      <c r="J20" s="5"/>
      <c r="K20" s="5"/>
      <c r="L20" s="5"/>
      <c r="M20" s="5"/>
      <c r="N20" s="5"/>
      <c r="O20" s="5"/>
      <c r="P20" s="5">
        <v>14290.0</v>
      </c>
      <c r="Q20" s="5">
        <v>28580.0</v>
      </c>
      <c r="R20" s="5">
        <v>228.64</v>
      </c>
      <c r="S20" s="5">
        <v>14061.36</v>
      </c>
      <c r="T20" s="5">
        <v>-14290.0</v>
      </c>
    </row>
    <row r="21">
      <c r="A21" s="3" t="s">
        <v>110</v>
      </c>
      <c r="B21" s="4" t="s">
        <v>111</v>
      </c>
      <c r="C21" s="4" t="s">
        <v>112</v>
      </c>
      <c r="D21" s="7" t="s">
        <v>60</v>
      </c>
      <c r="E21" s="4" t="s">
        <v>113</v>
      </c>
      <c r="F21" s="4" t="s">
        <v>114</v>
      </c>
      <c r="G21" s="5"/>
      <c r="H21" s="5"/>
      <c r="I21" s="5"/>
      <c r="J21" s="5"/>
      <c r="K21" s="5"/>
      <c r="L21" s="5"/>
      <c r="M21" s="5"/>
      <c r="N21" s="5"/>
      <c r="O21" s="5"/>
      <c r="P21" s="5">
        <v>789599.82</v>
      </c>
      <c r="Q21" s="5">
        <v>789899.82</v>
      </c>
      <c r="R21" s="5">
        <v>0.0</v>
      </c>
      <c r="S21" s="5">
        <v>789599.82</v>
      </c>
      <c r="T21" s="5">
        <v>-300.0</v>
      </c>
    </row>
    <row r="22">
      <c r="A22" s="3" t="s">
        <v>115</v>
      </c>
      <c r="B22" s="4" t="s">
        <v>116</v>
      </c>
      <c r="C22" s="4" t="s">
        <v>117</v>
      </c>
      <c r="D22" s="7" t="s">
        <v>60</v>
      </c>
      <c r="E22" s="4" t="s">
        <v>118</v>
      </c>
      <c r="F22" s="4" t="s">
        <v>119</v>
      </c>
      <c r="G22" s="5"/>
      <c r="H22" s="5"/>
      <c r="I22" s="5"/>
      <c r="J22" s="5"/>
      <c r="K22" s="5"/>
      <c r="L22" s="5"/>
      <c r="M22" s="5"/>
      <c r="N22" s="5"/>
      <c r="O22" s="5"/>
      <c r="P22" s="5">
        <v>350000.0</v>
      </c>
      <c r="Q22" s="5">
        <v>350000.0</v>
      </c>
      <c r="R22" s="5">
        <v>0.0</v>
      </c>
      <c r="S22" s="5">
        <v>350000.0</v>
      </c>
      <c r="T22" s="5">
        <v>0.0</v>
      </c>
    </row>
    <row r="23">
      <c r="A23" s="3" t="s">
        <v>120</v>
      </c>
      <c r="B23" s="4" t="s">
        <v>121</v>
      </c>
      <c r="C23" s="4" t="s">
        <v>122</v>
      </c>
      <c r="D23" s="7" t="s">
        <v>60</v>
      </c>
      <c r="E23" s="4" t="s">
        <v>50</v>
      </c>
      <c r="F23" s="4" t="s">
        <v>123</v>
      </c>
      <c r="G23" s="5"/>
      <c r="H23" s="5"/>
      <c r="I23" s="5"/>
      <c r="J23" s="5"/>
      <c r="K23" s="5"/>
      <c r="L23" s="5"/>
      <c r="M23" s="5"/>
      <c r="N23" s="5"/>
      <c r="O23" s="5"/>
      <c r="P23" s="5">
        <v>19648.92</v>
      </c>
      <c r="Q23" s="5">
        <v>19648.92</v>
      </c>
      <c r="R23" s="5">
        <v>0.0</v>
      </c>
      <c r="S23" s="5">
        <v>19648.92</v>
      </c>
      <c r="T23" s="5">
        <v>0.0</v>
      </c>
    </row>
    <row r="24">
      <c r="A24" s="3" t="s">
        <v>124</v>
      </c>
      <c r="B24" s="4" t="s">
        <v>125</v>
      </c>
      <c r="C24" s="4" t="s">
        <v>126</v>
      </c>
      <c r="D24" s="7" t="s">
        <v>60</v>
      </c>
      <c r="E24" s="4" t="s">
        <v>127</v>
      </c>
      <c r="F24" s="4" t="s">
        <v>128</v>
      </c>
      <c r="G24" s="5"/>
      <c r="H24" s="5"/>
      <c r="I24" s="5"/>
      <c r="J24" s="5"/>
      <c r="K24" s="5"/>
      <c r="L24" s="5"/>
      <c r="M24" s="5"/>
      <c r="N24" s="5"/>
      <c r="O24" s="5"/>
      <c r="P24" s="5">
        <v>2499980.0</v>
      </c>
      <c r="Q24" s="5">
        <v>624994.98</v>
      </c>
      <c r="R24" s="5">
        <v>69474.92</v>
      </c>
      <c r="S24" s="5">
        <v>2430505.08</v>
      </c>
      <c r="T24" s="5">
        <v>1874985.02</v>
      </c>
    </row>
    <row r="25">
      <c r="A25" s="8" t="s">
        <v>129</v>
      </c>
      <c r="B25" s="1" t="s">
        <v>130</v>
      </c>
      <c r="C25" s="1" t="s">
        <v>131</v>
      </c>
      <c r="D25" s="5" t="s">
        <v>132</v>
      </c>
      <c r="E25" s="1" t="s">
        <v>133</v>
      </c>
      <c r="F25" s="1" t="s">
        <v>134</v>
      </c>
      <c r="G25" s="5"/>
      <c r="H25" s="5"/>
      <c r="I25" s="5"/>
      <c r="J25" s="5"/>
      <c r="K25" s="5"/>
      <c r="L25" s="5"/>
      <c r="M25" s="5"/>
      <c r="N25" s="5"/>
      <c r="O25" s="5"/>
      <c r="P25" s="5">
        <v>15800.0</v>
      </c>
      <c r="Q25" s="5">
        <v>7500.0</v>
      </c>
      <c r="R25" s="5">
        <v>15800.0</v>
      </c>
      <c r="S25" s="5">
        <v>0.0</v>
      </c>
      <c r="T25" s="5">
        <v>8300.0</v>
      </c>
    </row>
    <row r="26">
      <c r="A26" s="1" t="s">
        <v>135</v>
      </c>
      <c r="B26" s="1" t="s">
        <v>136</v>
      </c>
      <c r="C26" s="1" t="s">
        <v>137</v>
      </c>
      <c r="D26" s="5" t="s">
        <v>132</v>
      </c>
      <c r="E26" s="1" t="s">
        <v>138</v>
      </c>
      <c r="F26" s="1" t="s">
        <v>134</v>
      </c>
      <c r="G26" s="5"/>
      <c r="H26" s="5"/>
      <c r="I26" s="5"/>
      <c r="J26" s="5"/>
      <c r="K26" s="5"/>
      <c r="L26" s="5"/>
      <c r="M26" s="5"/>
      <c r="N26" s="5"/>
      <c r="O26" s="5"/>
      <c r="P26" s="5">
        <v>13345.76</v>
      </c>
      <c r="Q26" s="6">
        <v>13345.76</v>
      </c>
      <c r="R26" s="5">
        <v>6672.88</v>
      </c>
      <c r="S26" s="5">
        <v>6672.88</v>
      </c>
      <c r="T26" s="5">
        <v>0.0</v>
      </c>
    </row>
    <row r="27">
      <c r="A27" s="1" t="s">
        <v>139</v>
      </c>
      <c r="B27" s="1" t="s">
        <v>140</v>
      </c>
      <c r="C27" s="1" t="s">
        <v>141</v>
      </c>
      <c r="D27" s="5" t="s">
        <v>132</v>
      </c>
      <c r="E27" s="1" t="s">
        <v>142</v>
      </c>
      <c r="F27" s="1" t="s">
        <v>143</v>
      </c>
      <c r="G27" s="5"/>
      <c r="H27" s="5"/>
      <c r="I27" s="5"/>
      <c r="J27" s="5"/>
      <c r="K27" s="5"/>
      <c r="L27" s="5"/>
      <c r="M27" s="5"/>
      <c r="N27" s="5"/>
      <c r="O27" s="5"/>
      <c r="P27" s="5">
        <v>39592.8</v>
      </c>
      <c r="Q27" s="6">
        <v>39592.8</v>
      </c>
      <c r="R27" s="5">
        <v>39592.8</v>
      </c>
      <c r="S27" s="5">
        <v>0.0</v>
      </c>
      <c r="T27" s="5">
        <v>0.0</v>
      </c>
    </row>
    <row r="28">
      <c r="A28" s="1" t="s">
        <v>144</v>
      </c>
      <c r="B28" s="1" t="s">
        <v>145</v>
      </c>
      <c r="C28" s="1" t="s">
        <v>146</v>
      </c>
      <c r="D28" s="5" t="s">
        <v>60</v>
      </c>
      <c r="E28" s="1" t="s">
        <v>147</v>
      </c>
      <c r="F28" s="1" t="s">
        <v>148</v>
      </c>
      <c r="G28" s="5"/>
      <c r="H28" s="5"/>
      <c r="I28" s="5"/>
      <c r="J28" s="5"/>
      <c r="K28" s="5"/>
      <c r="L28" s="5"/>
      <c r="M28" s="5"/>
      <c r="N28" s="5"/>
      <c r="O28" s="5"/>
      <c r="P28" s="5">
        <v>8575.35</v>
      </c>
      <c r="Q28" s="5">
        <v>8575.53</v>
      </c>
      <c r="R28" s="5">
        <v>0.0</v>
      </c>
      <c r="S28" s="5">
        <v>8575.35</v>
      </c>
      <c r="T28" s="5">
        <v>-0.18000000000029104</v>
      </c>
    </row>
    <row r="29">
      <c r="A29" s="1" t="s">
        <v>149</v>
      </c>
      <c r="B29" s="1" t="s">
        <v>150</v>
      </c>
      <c r="C29" s="1" t="s">
        <v>151</v>
      </c>
      <c r="D29" s="5" t="s">
        <v>60</v>
      </c>
      <c r="E29" s="1" t="s">
        <v>152</v>
      </c>
      <c r="F29" s="1" t="s">
        <v>134</v>
      </c>
      <c r="G29" s="5"/>
      <c r="H29" s="5"/>
      <c r="I29" s="5"/>
      <c r="J29" s="5"/>
      <c r="K29" s="5"/>
      <c r="L29" s="5"/>
      <c r="M29" s="5"/>
      <c r="N29" s="5"/>
      <c r="O29" s="5"/>
      <c r="P29" s="5">
        <v>125908.0</v>
      </c>
      <c r="Q29" s="5">
        <v>10504.58</v>
      </c>
      <c r="R29" s="5">
        <v>0.0</v>
      </c>
      <c r="S29" s="5">
        <v>125908.0</v>
      </c>
      <c r="T29" s="5">
        <v>115403.42</v>
      </c>
    </row>
    <row r="30">
      <c r="A30" s="1" t="s">
        <v>153</v>
      </c>
      <c r="B30" s="1" t="s">
        <v>154</v>
      </c>
      <c r="C30" s="1" t="s">
        <v>155</v>
      </c>
      <c r="D30" s="5" t="s">
        <v>60</v>
      </c>
      <c r="E30" s="1" t="s">
        <v>156</v>
      </c>
      <c r="F30" s="1" t="s">
        <v>157</v>
      </c>
      <c r="G30" s="5"/>
      <c r="H30" s="5"/>
      <c r="I30" s="5"/>
      <c r="J30" s="5"/>
      <c r="K30" s="5"/>
      <c r="L30" s="5"/>
      <c r="M30" s="5"/>
      <c r="N30" s="5"/>
      <c r="O30" s="5"/>
      <c r="P30" s="5">
        <v>48948.58</v>
      </c>
      <c r="Q30" s="5">
        <v>24474.29</v>
      </c>
      <c r="R30" s="5">
        <v>1183.1399999999999</v>
      </c>
      <c r="S30" s="5">
        <v>47765.44</v>
      </c>
      <c r="T30" s="5">
        <v>24474.29</v>
      </c>
    </row>
    <row r="31">
      <c r="A31" s="1" t="s">
        <v>158</v>
      </c>
      <c r="B31" s="1" t="s">
        <v>159</v>
      </c>
      <c r="C31" s="1" t="s">
        <v>160</v>
      </c>
      <c r="D31" s="5" t="s">
        <v>60</v>
      </c>
      <c r="E31" s="1" t="s">
        <v>156</v>
      </c>
      <c r="F31" s="1" t="s">
        <v>161</v>
      </c>
      <c r="G31" s="5"/>
      <c r="H31" s="5"/>
      <c r="I31" s="5"/>
      <c r="J31" s="5"/>
      <c r="K31" s="5"/>
      <c r="L31" s="5"/>
      <c r="M31" s="5"/>
      <c r="N31" s="5"/>
      <c r="O31" s="5"/>
      <c r="P31" s="5">
        <v>125250.0</v>
      </c>
      <c r="Q31" s="5">
        <v>62625.0</v>
      </c>
      <c r="R31" s="5">
        <v>25050.0</v>
      </c>
      <c r="S31" s="5">
        <v>100200.0</v>
      </c>
      <c r="T31" s="5">
        <v>62625.0</v>
      </c>
    </row>
    <row r="32">
      <c r="A32" s="1" t="s">
        <v>162</v>
      </c>
      <c r="B32" s="1" t="s">
        <v>163</v>
      </c>
      <c r="C32" s="1" t="s">
        <v>164</v>
      </c>
      <c r="D32" s="5" t="s">
        <v>60</v>
      </c>
      <c r="E32" s="1" t="s">
        <v>165</v>
      </c>
      <c r="F32" s="1" t="s">
        <v>134</v>
      </c>
      <c r="G32" s="5"/>
      <c r="H32" s="5"/>
      <c r="I32" s="5"/>
      <c r="J32" s="5"/>
      <c r="K32" s="5"/>
      <c r="L32" s="5"/>
      <c r="M32" s="5"/>
      <c r="N32" s="5"/>
      <c r="O32" s="5"/>
      <c r="P32" s="5">
        <v>896738.8</v>
      </c>
      <c r="Q32" s="5">
        <v>896738.8</v>
      </c>
      <c r="R32" s="5">
        <v>179865.09999999998</v>
      </c>
      <c r="S32" s="5">
        <v>716873.7000000001</v>
      </c>
      <c r="T32" s="5">
        <v>0.0</v>
      </c>
    </row>
    <row r="33">
      <c r="A33" s="1" t="s">
        <v>166</v>
      </c>
      <c r="B33" s="1" t="s">
        <v>167</v>
      </c>
      <c r="C33" s="1" t="s">
        <v>168</v>
      </c>
      <c r="D33" s="5" t="s">
        <v>60</v>
      </c>
      <c r="E33" s="1" t="s">
        <v>169</v>
      </c>
      <c r="F33" s="1" t="s">
        <v>134</v>
      </c>
      <c r="G33" s="5"/>
      <c r="H33" s="5"/>
      <c r="I33" s="5"/>
      <c r="J33" s="5"/>
      <c r="K33" s="5"/>
      <c r="L33" s="5"/>
      <c r="M33" s="5"/>
      <c r="N33" s="5"/>
      <c r="O33" s="5"/>
      <c r="P33" s="5">
        <v>21009.16</v>
      </c>
      <c r="Q33" s="5">
        <v>21009.16</v>
      </c>
      <c r="R33" s="5">
        <v>21009.16</v>
      </c>
      <c r="S33" s="5">
        <v>0.0</v>
      </c>
      <c r="T33" s="5">
        <v>0.0</v>
      </c>
    </row>
    <row r="34">
      <c r="A34" s="1" t="s">
        <v>170</v>
      </c>
      <c r="B34" s="1" t="s">
        <v>171</v>
      </c>
      <c r="C34" s="1" t="s">
        <v>172</v>
      </c>
      <c r="D34" s="5" t="s">
        <v>60</v>
      </c>
      <c r="E34" s="1" t="s">
        <v>173</v>
      </c>
      <c r="F34" s="1" t="s">
        <v>174</v>
      </c>
      <c r="G34" s="5"/>
      <c r="H34" s="5"/>
      <c r="I34" s="5"/>
      <c r="J34" s="5"/>
      <c r="K34" s="5"/>
      <c r="L34" s="5"/>
      <c r="M34" s="5"/>
      <c r="N34" s="5"/>
      <c r="O34" s="5"/>
      <c r="P34" s="5">
        <v>23940.0</v>
      </c>
      <c r="Q34" s="5">
        <v>23940.0</v>
      </c>
      <c r="R34" s="5">
        <v>11400.0</v>
      </c>
      <c r="S34" s="5">
        <v>12540.0</v>
      </c>
      <c r="T34" s="5">
        <v>0.0</v>
      </c>
    </row>
    <row r="35">
      <c r="A35" s="1" t="s">
        <v>175</v>
      </c>
      <c r="B35" s="1" t="s">
        <v>176</v>
      </c>
      <c r="C35" s="1" t="s">
        <v>177</v>
      </c>
      <c r="D35" s="5" t="s">
        <v>60</v>
      </c>
      <c r="E35" s="1" t="s">
        <v>178</v>
      </c>
      <c r="F35" s="1" t="s">
        <v>179</v>
      </c>
      <c r="G35" s="5"/>
      <c r="H35" s="5"/>
      <c r="I35" s="5"/>
      <c r="J35" s="5"/>
      <c r="K35" s="5"/>
      <c r="L35" s="5"/>
      <c r="M35" s="5"/>
      <c r="N35" s="5"/>
      <c r="O35" s="5"/>
      <c r="P35" s="5">
        <v>59945.0</v>
      </c>
      <c r="Q35" s="5">
        <v>32496.5</v>
      </c>
      <c r="R35" s="5">
        <v>58998.5</v>
      </c>
      <c r="S35" s="5">
        <v>946.5</v>
      </c>
      <c r="T35" s="5">
        <v>27448.5</v>
      </c>
    </row>
    <row r="36">
      <c r="A36" s="1" t="s">
        <v>180</v>
      </c>
      <c r="B36" s="1" t="s">
        <v>181</v>
      </c>
      <c r="C36" s="1" t="s">
        <v>182</v>
      </c>
      <c r="D36" s="5" t="s">
        <v>60</v>
      </c>
      <c r="E36" s="1" t="s">
        <v>183</v>
      </c>
      <c r="F36" s="1" t="s">
        <v>179</v>
      </c>
      <c r="G36" s="5"/>
      <c r="H36" s="5"/>
      <c r="I36" s="5"/>
      <c r="J36" s="5"/>
      <c r="K36" s="5"/>
      <c r="L36" s="5"/>
      <c r="M36" s="5"/>
      <c r="N36" s="5"/>
      <c r="O36" s="5"/>
      <c r="P36" s="5">
        <v>501000.0</v>
      </c>
      <c r="Q36" s="6">
        <v>258530.0</v>
      </c>
      <c r="R36" s="5">
        <v>221980.0</v>
      </c>
      <c r="S36" s="5">
        <v>279020.0</v>
      </c>
      <c r="T36" s="5">
        <v>242470.0</v>
      </c>
    </row>
    <row r="37">
      <c r="A37" s="1" t="s">
        <v>184</v>
      </c>
      <c r="B37" s="1" t="s">
        <v>185</v>
      </c>
      <c r="C37" s="1" t="s">
        <v>186</v>
      </c>
      <c r="D37" s="5" t="s">
        <v>60</v>
      </c>
      <c r="E37" s="1" t="s">
        <v>187</v>
      </c>
      <c r="F37" s="1" t="s">
        <v>174</v>
      </c>
      <c r="G37" s="5"/>
      <c r="H37" s="5"/>
      <c r="I37" s="5"/>
      <c r="J37" s="5"/>
      <c r="K37" s="5"/>
      <c r="L37" s="5"/>
      <c r="M37" s="5"/>
      <c r="N37" s="5"/>
      <c r="O37" s="5"/>
      <c r="P37" s="5">
        <v>764550.0</v>
      </c>
      <c r="Q37" s="5">
        <v>764550.0</v>
      </c>
      <c r="R37" s="5">
        <v>608547.82</v>
      </c>
      <c r="S37" s="5">
        <v>156002.18000000005</v>
      </c>
      <c r="T37" s="5">
        <v>0.0</v>
      </c>
    </row>
    <row r="38">
      <c r="A38" s="1" t="s">
        <v>188</v>
      </c>
      <c r="B38" s="1" t="s">
        <v>189</v>
      </c>
      <c r="C38" s="1" t="s">
        <v>190</v>
      </c>
      <c r="D38" s="5" t="s">
        <v>60</v>
      </c>
      <c r="E38" s="1" t="s">
        <v>191</v>
      </c>
      <c r="F38" s="1" t="s">
        <v>174</v>
      </c>
      <c r="G38" s="5"/>
      <c r="H38" s="5"/>
      <c r="I38" s="5"/>
      <c r="J38" s="5"/>
      <c r="K38" s="5"/>
      <c r="L38" s="5"/>
      <c r="M38" s="5"/>
      <c r="N38" s="5"/>
      <c r="O38" s="5"/>
      <c r="P38" s="5">
        <v>242203.75</v>
      </c>
      <c r="Q38" s="5">
        <v>187251.87</v>
      </c>
      <c r="R38" s="5">
        <v>131953.75</v>
      </c>
      <c r="S38" s="5">
        <v>110250.0</v>
      </c>
      <c r="T38" s="5">
        <v>54951.880000000005</v>
      </c>
    </row>
    <row r="39">
      <c r="A39" s="1" t="s">
        <v>192</v>
      </c>
      <c r="B39" s="1" t="s">
        <v>193</v>
      </c>
      <c r="C39" s="1" t="s">
        <v>194</v>
      </c>
      <c r="D39" s="5" t="s">
        <v>60</v>
      </c>
      <c r="E39" s="1" t="s">
        <v>195</v>
      </c>
      <c r="F39" s="1" t="s">
        <v>174</v>
      </c>
      <c r="G39" s="5"/>
      <c r="H39" s="5"/>
      <c r="I39" s="5"/>
      <c r="J39" s="5"/>
      <c r="K39" s="5"/>
      <c r="L39" s="5"/>
      <c r="M39" s="5"/>
      <c r="N39" s="5"/>
      <c r="O39" s="5"/>
      <c r="P39" s="5">
        <v>22683.92</v>
      </c>
      <c r="Q39" s="5">
        <v>22683.92</v>
      </c>
      <c r="R39" s="5">
        <v>8506.47</v>
      </c>
      <c r="S39" s="5">
        <v>14177.449999999999</v>
      </c>
      <c r="T39" s="5">
        <v>0.0</v>
      </c>
    </row>
    <row r="40">
      <c r="A40" s="1" t="s">
        <v>196</v>
      </c>
      <c r="B40" s="1" t="s">
        <v>197</v>
      </c>
      <c r="C40" s="1" t="s">
        <v>198</v>
      </c>
      <c r="D40" s="5" t="s">
        <v>60</v>
      </c>
      <c r="E40" s="1" t="s">
        <v>199</v>
      </c>
      <c r="F40" s="1" t="s">
        <v>179</v>
      </c>
      <c r="G40" s="5"/>
      <c r="H40" s="5"/>
      <c r="I40" s="5"/>
      <c r="J40" s="5"/>
      <c r="K40" s="5"/>
      <c r="L40" s="5"/>
      <c r="M40" s="5"/>
      <c r="N40" s="5"/>
      <c r="O40" s="5"/>
      <c r="P40" s="5">
        <v>34089.93</v>
      </c>
      <c r="Q40" s="5">
        <v>34089.93</v>
      </c>
      <c r="R40" s="5">
        <v>6461.65</v>
      </c>
      <c r="S40" s="5">
        <v>27628.28</v>
      </c>
      <c r="T40" s="5">
        <v>0.0</v>
      </c>
    </row>
    <row r="41">
      <c r="A41" s="1" t="s">
        <v>200</v>
      </c>
      <c r="B41" s="1" t="s">
        <v>201</v>
      </c>
      <c r="C41" s="1" t="s">
        <v>202</v>
      </c>
      <c r="D41" s="5" t="s">
        <v>60</v>
      </c>
      <c r="E41" s="1" t="s">
        <v>203</v>
      </c>
      <c r="F41" s="1" t="s">
        <v>161</v>
      </c>
      <c r="G41" s="5"/>
      <c r="H41" s="5"/>
      <c r="I41" s="5"/>
      <c r="J41" s="5"/>
      <c r="K41" s="5"/>
      <c r="L41" s="5"/>
      <c r="M41" s="5"/>
      <c r="N41" s="5"/>
      <c r="O41" s="5"/>
      <c r="P41" s="5">
        <v>100000.0</v>
      </c>
      <c r="Q41" s="5">
        <v>100000.0</v>
      </c>
      <c r="R41" s="5">
        <v>35500.0</v>
      </c>
      <c r="S41" s="5">
        <v>64500.0</v>
      </c>
      <c r="T41" s="5">
        <v>0.0</v>
      </c>
    </row>
    <row r="42">
      <c r="A42" s="1" t="s">
        <v>204</v>
      </c>
      <c r="B42" s="1" t="s">
        <v>205</v>
      </c>
      <c r="C42" s="1" t="s">
        <v>206</v>
      </c>
      <c r="D42" s="5" t="s">
        <v>60</v>
      </c>
      <c r="E42" s="1" t="s">
        <v>207</v>
      </c>
      <c r="F42" s="1" t="s">
        <v>208</v>
      </c>
      <c r="G42" s="5"/>
      <c r="H42" s="5"/>
      <c r="I42" s="5"/>
      <c r="J42" s="5"/>
      <c r="K42" s="5"/>
      <c r="L42" s="5"/>
      <c r="M42" s="5"/>
      <c r="N42" s="5"/>
      <c r="O42" s="5"/>
      <c r="P42" s="5">
        <v>11569.6</v>
      </c>
      <c r="Q42" s="5">
        <v>11569.6</v>
      </c>
      <c r="R42" s="5">
        <v>11569.6</v>
      </c>
      <c r="S42" s="5">
        <v>0.0</v>
      </c>
      <c r="T42" s="5">
        <v>0.0</v>
      </c>
    </row>
    <row r="43">
      <c r="A43" s="1" t="s">
        <v>209</v>
      </c>
      <c r="B43" s="1" t="s">
        <v>210</v>
      </c>
      <c r="C43" s="1" t="s">
        <v>211</v>
      </c>
      <c r="D43" s="5" t="s">
        <v>60</v>
      </c>
      <c r="E43" s="1" t="s">
        <v>212</v>
      </c>
      <c r="F43" s="1" t="s">
        <v>208</v>
      </c>
      <c r="G43" s="5"/>
      <c r="H43" s="5"/>
      <c r="I43" s="5"/>
      <c r="J43" s="5"/>
      <c r="K43" s="5"/>
      <c r="L43" s="5"/>
      <c r="M43" s="5"/>
      <c r="N43" s="5"/>
      <c r="O43" s="5"/>
      <c r="P43" s="5">
        <v>1156722.0</v>
      </c>
      <c r="Q43" s="5">
        <v>1156722.0</v>
      </c>
      <c r="R43" s="5">
        <v>642130.0</v>
      </c>
      <c r="S43" s="5">
        <v>514592.0</v>
      </c>
      <c r="T43" s="5">
        <v>0.0</v>
      </c>
    </row>
    <row r="44">
      <c r="A44" s="1" t="s">
        <v>213</v>
      </c>
      <c r="B44" s="1" t="s">
        <v>214</v>
      </c>
      <c r="C44" s="1" t="s">
        <v>215</v>
      </c>
      <c r="D44" s="5" t="s">
        <v>60</v>
      </c>
      <c r="E44" s="1" t="s">
        <v>216</v>
      </c>
      <c r="F44" s="1" t="s">
        <v>217</v>
      </c>
      <c r="G44" s="5"/>
      <c r="H44" s="5"/>
      <c r="I44" s="5"/>
      <c r="J44" s="5"/>
      <c r="K44" s="5"/>
      <c r="L44" s="5"/>
      <c r="M44" s="5"/>
      <c r="N44" s="5"/>
      <c r="O44" s="5"/>
      <c r="P44" s="5">
        <v>1135000.0</v>
      </c>
      <c r="Q44" s="5">
        <v>775000.0</v>
      </c>
      <c r="R44" s="5">
        <v>301779.66</v>
      </c>
      <c r="S44" s="5">
        <v>833220.3400000001</v>
      </c>
      <c r="T44" s="5">
        <v>360000.0</v>
      </c>
    </row>
    <row r="45">
      <c r="A45" s="1" t="s">
        <v>218</v>
      </c>
      <c r="B45" s="1" t="s">
        <v>219</v>
      </c>
      <c r="C45" s="1" t="s">
        <v>220</v>
      </c>
      <c r="D45" s="5" t="s">
        <v>60</v>
      </c>
      <c r="E45" s="1" t="s">
        <v>221</v>
      </c>
      <c r="F45" s="1" t="s">
        <v>222</v>
      </c>
      <c r="G45" s="5"/>
      <c r="H45" s="5"/>
      <c r="I45" s="5"/>
      <c r="J45" s="5"/>
      <c r="K45" s="5"/>
      <c r="L45" s="5"/>
      <c r="M45" s="5"/>
      <c r="N45" s="5"/>
      <c r="O45" s="5"/>
      <c r="P45" s="5">
        <v>29886.0</v>
      </c>
      <c r="Q45" s="5">
        <v>29886.0</v>
      </c>
      <c r="R45" s="5">
        <v>8790.0</v>
      </c>
      <c r="S45" s="5">
        <v>21096.0</v>
      </c>
      <c r="T45" s="5">
        <v>0.0</v>
      </c>
    </row>
    <row r="46">
      <c r="A46" s="1" t="s">
        <v>223</v>
      </c>
      <c r="B46" s="1" t="s">
        <v>224</v>
      </c>
      <c r="C46" s="1" t="s">
        <v>225</v>
      </c>
      <c r="D46" s="5" t="s">
        <v>60</v>
      </c>
      <c r="E46" s="1" t="s">
        <v>226</v>
      </c>
      <c r="F46" s="1" t="s">
        <v>227</v>
      </c>
      <c r="G46" s="5"/>
      <c r="H46" s="5"/>
      <c r="I46" s="5"/>
      <c r="J46" s="5"/>
      <c r="K46" s="5"/>
      <c r="L46" s="5"/>
      <c r="M46" s="5"/>
      <c r="N46" s="5"/>
      <c r="O46" s="5"/>
      <c r="P46" s="5">
        <v>21600.0</v>
      </c>
      <c r="Q46" s="5">
        <v>21600.0</v>
      </c>
      <c r="R46" s="5">
        <v>0.0</v>
      </c>
      <c r="S46" s="5">
        <v>21600.0</v>
      </c>
      <c r="T46" s="5">
        <v>0.0</v>
      </c>
    </row>
    <row r="47">
      <c r="A47" s="1" t="s">
        <v>228</v>
      </c>
      <c r="B47" s="1" t="s">
        <v>229</v>
      </c>
      <c r="C47" s="1" t="s">
        <v>230</v>
      </c>
      <c r="D47" s="5" t="s">
        <v>60</v>
      </c>
      <c r="E47" s="1" t="s">
        <v>231</v>
      </c>
      <c r="F47" s="1" t="s">
        <v>232</v>
      </c>
      <c r="G47" s="5"/>
      <c r="H47" s="5"/>
      <c r="I47" s="5"/>
      <c r="J47" s="5"/>
      <c r="K47" s="5"/>
      <c r="L47" s="5"/>
      <c r="M47" s="5"/>
      <c r="N47" s="5"/>
      <c r="O47" s="5"/>
      <c r="P47" s="5">
        <v>427851.52</v>
      </c>
      <c r="Q47" s="6">
        <v>0.0</v>
      </c>
      <c r="R47" s="5">
        <v>443.88</v>
      </c>
      <c r="S47" s="5">
        <v>427407.64</v>
      </c>
      <c r="T47" s="5">
        <v>427851.52</v>
      </c>
    </row>
    <row r="48">
      <c r="A48" s="1" t="s">
        <v>233</v>
      </c>
      <c r="B48" s="1" t="s">
        <v>234</v>
      </c>
      <c r="C48" s="1" t="s">
        <v>235</v>
      </c>
      <c r="D48" s="5" t="s">
        <v>60</v>
      </c>
      <c r="E48" s="1" t="s">
        <v>236</v>
      </c>
      <c r="F48" s="1" t="s">
        <v>237</v>
      </c>
      <c r="G48" s="5"/>
      <c r="H48" s="5"/>
      <c r="I48" s="5"/>
      <c r="J48" s="5"/>
      <c r="K48" s="5"/>
      <c r="L48" s="5"/>
      <c r="M48" s="5"/>
      <c r="N48" s="5"/>
      <c r="O48" s="5"/>
      <c r="P48" s="5">
        <v>320583.0</v>
      </c>
      <c r="Q48" s="5">
        <v>3454.2</v>
      </c>
      <c r="R48" s="5">
        <v>114.0</v>
      </c>
      <c r="S48" s="5">
        <v>320469.0</v>
      </c>
      <c r="T48" s="5">
        <v>317128.8</v>
      </c>
    </row>
    <row r="49">
      <c r="A49" s="1" t="s">
        <v>238</v>
      </c>
      <c r="B49" s="1" t="s">
        <v>239</v>
      </c>
      <c r="C49" s="1" t="s">
        <v>240</v>
      </c>
      <c r="D49" s="5" t="s">
        <v>60</v>
      </c>
      <c r="E49" s="1" t="s">
        <v>226</v>
      </c>
      <c r="F49" s="1" t="s">
        <v>241</v>
      </c>
      <c r="G49" s="5"/>
      <c r="H49" s="5"/>
      <c r="I49" s="5"/>
      <c r="J49" s="5"/>
      <c r="K49" s="5"/>
      <c r="L49" s="5"/>
      <c r="M49" s="5"/>
      <c r="N49" s="5"/>
      <c r="O49" s="5"/>
      <c r="P49" s="5">
        <v>779936.9</v>
      </c>
      <c r="Q49" s="5">
        <v>215043.41999999998</v>
      </c>
      <c r="R49" s="5">
        <v>116183.42</v>
      </c>
      <c r="S49" s="5">
        <v>663753.48</v>
      </c>
      <c r="T49" s="5">
        <v>564893.48</v>
      </c>
    </row>
    <row r="50">
      <c r="A50" s="1" t="s">
        <v>242</v>
      </c>
      <c r="B50" s="1" t="s">
        <v>243</v>
      </c>
      <c r="C50" s="1" t="s">
        <v>244</v>
      </c>
      <c r="D50" s="5" t="s">
        <v>245</v>
      </c>
      <c r="E50" s="1" t="s">
        <v>246</v>
      </c>
      <c r="F50" s="1" t="s">
        <v>247</v>
      </c>
      <c r="G50" s="5"/>
      <c r="H50" s="5"/>
      <c r="I50" s="5"/>
      <c r="J50" s="5"/>
      <c r="K50" s="5"/>
      <c r="L50" s="5"/>
      <c r="M50" s="5"/>
      <c r="N50" s="5"/>
      <c r="O50" s="5"/>
      <c r="P50" s="5">
        <v>787872.0</v>
      </c>
      <c r="Q50" s="5">
        <v>393936.0</v>
      </c>
      <c r="R50" s="5">
        <v>65656.0</v>
      </c>
      <c r="S50" s="5">
        <v>722216.0</v>
      </c>
      <c r="T50" s="5">
        <v>393936.0</v>
      </c>
    </row>
    <row r="51">
      <c r="A51" s="1" t="s">
        <v>248</v>
      </c>
      <c r="B51" s="1" t="s">
        <v>249</v>
      </c>
      <c r="C51" s="1" t="s">
        <v>250</v>
      </c>
      <c r="D51" s="5" t="s">
        <v>245</v>
      </c>
      <c r="E51" s="1" t="s">
        <v>251</v>
      </c>
      <c r="F51" s="1" t="s">
        <v>252</v>
      </c>
      <c r="G51" s="5"/>
      <c r="H51" s="5"/>
      <c r="I51" s="5"/>
      <c r="J51" s="5"/>
      <c r="K51" s="5"/>
      <c r="L51" s="5"/>
      <c r="M51" s="5"/>
      <c r="N51" s="5"/>
      <c r="O51" s="5"/>
      <c r="P51" s="5">
        <v>18000.0</v>
      </c>
      <c r="Q51" s="5">
        <v>18000.0</v>
      </c>
      <c r="R51" s="5">
        <v>9000.0</v>
      </c>
      <c r="S51" s="5">
        <v>9000.0</v>
      </c>
      <c r="T51" s="5">
        <v>0.0</v>
      </c>
    </row>
    <row r="52">
      <c r="A52" s="1" t="s">
        <v>253</v>
      </c>
      <c r="B52" s="1" t="s">
        <v>254</v>
      </c>
      <c r="C52" s="1" t="s">
        <v>255</v>
      </c>
      <c r="D52" s="5" t="s">
        <v>60</v>
      </c>
      <c r="E52" s="1" t="s">
        <v>256</v>
      </c>
      <c r="F52" s="1" t="s">
        <v>257</v>
      </c>
      <c r="G52" s="5"/>
      <c r="H52" s="5"/>
      <c r="I52" s="5"/>
      <c r="J52" s="5"/>
      <c r="K52" s="5"/>
      <c r="L52" s="5"/>
      <c r="M52" s="5"/>
      <c r="N52" s="5"/>
      <c r="O52" s="5"/>
      <c r="P52" s="5">
        <v>1755640.0</v>
      </c>
      <c r="Q52" s="5">
        <v>1000000.0</v>
      </c>
      <c r="R52" s="5">
        <v>0.0</v>
      </c>
      <c r="S52" s="5">
        <v>1755640.0</v>
      </c>
      <c r="T52" s="5">
        <v>755640.0</v>
      </c>
    </row>
    <row r="53">
      <c r="A53" s="1" t="s">
        <v>258</v>
      </c>
      <c r="B53" s="1" t="s">
        <v>259</v>
      </c>
      <c r="C53" s="1" t="s">
        <v>260</v>
      </c>
      <c r="D53" s="5" t="s">
        <v>60</v>
      </c>
      <c r="E53" s="1" t="s">
        <v>261</v>
      </c>
      <c r="F53" s="1" t="s">
        <v>262</v>
      </c>
      <c r="G53" s="5"/>
      <c r="H53" s="5"/>
      <c r="I53" s="5"/>
      <c r="J53" s="5"/>
      <c r="K53" s="5"/>
      <c r="L53" s="5"/>
      <c r="M53" s="5"/>
      <c r="N53" s="5"/>
      <c r="O53" s="5"/>
      <c r="P53" s="5">
        <v>7649.96</v>
      </c>
      <c r="Q53" s="5">
        <v>7649.96</v>
      </c>
      <c r="R53" s="5">
        <v>3554.04</v>
      </c>
      <c r="S53" s="5">
        <v>4095.92</v>
      </c>
      <c r="T53" s="5">
        <v>0.0</v>
      </c>
    </row>
    <row r="54">
      <c r="A54" s="1" t="s">
        <v>263</v>
      </c>
      <c r="B54" s="1" t="s">
        <v>264</v>
      </c>
      <c r="C54" s="1" t="s">
        <v>265</v>
      </c>
      <c r="D54" s="5" t="s">
        <v>60</v>
      </c>
      <c r="E54" s="1" t="s">
        <v>261</v>
      </c>
      <c r="F54" s="1" t="s">
        <v>262</v>
      </c>
      <c r="G54" s="5"/>
      <c r="H54" s="5"/>
      <c r="I54" s="5"/>
      <c r="J54" s="5"/>
      <c r="K54" s="5"/>
      <c r="L54" s="5"/>
      <c r="M54" s="5"/>
      <c r="N54" s="5"/>
      <c r="O54" s="5"/>
      <c r="P54" s="5">
        <v>291289.41</v>
      </c>
      <c r="Q54" s="5">
        <v>145644.7</v>
      </c>
      <c r="R54" s="5">
        <v>85051.39</v>
      </c>
      <c r="S54" s="5">
        <v>206238.01999999996</v>
      </c>
      <c r="T54" s="5">
        <v>145644.70999999996</v>
      </c>
    </row>
    <row r="55">
      <c r="A55" s="1" t="s">
        <v>266</v>
      </c>
      <c r="B55" s="1" t="s">
        <v>267</v>
      </c>
      <c r="C55" s="1" t="s">
        <v>268</v>
      </c>
      <c r="D55" s="5" t="s">
        <v>245</v>
      </c>
      <c r="E55" s="1" t="s">
        <v>269</v>
      </c>
      <c r="F55" s="1" t="s">
        <v>270</v>
      </c>
      <c r="G55" s="5"/>
      <c r="H55" s="5"/>
      <c r="I55" s="5"/>
      <c r="J55" s="5"/>
      <c r="K55" s="5"/>
      <c r="L55" s="5"/>
      <c r="M55" s="5"/>
      <c r="N55" s="5"/>
      <c r="O55" s="5"/>
      <c r="P55" s="5">
        <v>90379.08</v>
      </c>
      <c r="Q55" s="5">
        <v>45189.54</v>
      </c>
      <c r="R55" s="5">
        <v>13252.2</v>
      </c>
      <c r="S55" s="5">
        <v>77126.88</v>
      </c>
      <c r="T55" s="5">
        <v>45189.54</v>
      </c>
    </row>
    <row r="56">
      <c r="A56" s="1" t="s">
        <v>271</v>
      </c>
      <c r="B56" s="1" t="s">
        <v>272</v>
      </c>
      <c r="C56" s="1" t="s">
        <v>273</v>
      </c>
      <c r="D56" s="5" t="s">
        <v>60</v>
      </c>
      <c r="E56" s="1" t="s">
        <v>274</v>
      </c>
      <c r="F56" s="1" t="s">
        <v>275</v>
      </c>
      <c r="G56" s="5"/>
      <c r="H56" s="5"/>
      <c r="I56" s="5"/>
      <c r="J56" s="5"/>
      <c r="K56" s="5"/>
      <c r="L56" s="5"/>
      <c r="M56" s="5"/>
      <c r="N56" s="5"/>
      <c r="O56" s="5"/>
      <c r="P56" s="5">
        <v>2790.41</v>
      </c>
      <c r="Q56" s="5">
        <v>2790.41</v>
      </c>
      <c r="R56" s="5">
        <v>0.0</v>
      </c>
      <c r="S56" s="5">
        <v>2790.41</v>
      </c>
      <c r="T56" s="5">
        <v>0.0</v>
      </c>
    </row>
    <row r="57">
      <c r="A57" s="1" t="s">
        <v>276</v>
      </c>
      <c r="B57" s="1" t="s">
        <v>277</v>
      </c>
      <c r="C57" s="1" t="s">
        <v>278</v>
      </c>
      <c r="D57" s="5" t="s">
        <v>60</v>
      </c>
      <c r="E57" s="1" t="s">
        <v>279</v>
      </c>
      <c r="F57" s="1" t="s">
        <v>280</v>
      </c>
      <c r="G57" s="5"/>
      <c r="H57" s="5"/>
      <c r="I57" s="5"/>
      <c r="J57" s="5"/>
      <c r="K57" s="5"/>
      <c r="L57" s="5"/>
      <c r="M57" s="5"/>
      <c r="N57" s="5"/>
      <c r="O57" s="5"/>
      <c r="P57" s="5">
        <v>3100.0</v>
      </c>
      <c r="Q57" s="5">
        <v>3100.0</v>
      </c>
      <c r="R57" s="5">
        <v>3100.0</v>
      </c>
      <c r="S57" s="5">
        <v>0.0</v>
      </c>
      <c r="T57" s="5">
        <v>0.0</v>
      </c>
    </row>
    <row r="58">
      <c r="A58" s="1" t="s">
        <v>281</v>
      </c>
      <c r="B58" s="1" t="s">
        <v>282</v>
      </c>
      <c r="C58" s="1" t="s">
        <v>283</v>
      </c>
      <c r="D58" s="5" t="s">
        <v>60</v>
      </c>
      <c r="E58" s="1" t="s">
        <v>284</v>
      </c>
      <c r="F58" s="1" t="s">
        <v>280</v>
      </c>
      <c r="G58" s="5"/>
      <c r="H58" s="5"/>
      <c r="I58" s="5"/>
      <c r="J58" s="5"/>
      <c r="K58" s="5"/>
      <c r="L58" s="5"/>
      <c r="M58" s="5"/>
      <c r="N58" s="5"/>
      <c r="O58" s="5"/>
      <c r="P58" s="5">
        <v>2.799264E7</v>
      </c>
      <c r="Q58" s="5">
        <v>2.207112E7</v>
      </c>
      <c r="R58" s="5">
        <v>1.5094492799999997E7</v>
      </c>
      <c r="S58" s="5">
        <v>1.2898147200000003E7</v>
      </c>
      <c r="T58" s="5">
        <v>5921520.0</v>
      </c>
    </row>
    <row r="59">
      <c r="A59" s="1" t="s">
        <v>285</v>
      </c>
      <c r="B59" s="1" t="s">
        <v>286</v>
      </c>
      <c r="C59" s="1" t="s">
        <v>287</v>
      </c>
      <c r="D59" s="5" t="s">
        <v>60</v>
      </c>
      <c r="E59" s="1" t="s">
        <v>288</v>
      </c>
      <c r="F59" s="1" t="s">
        <v>289</v>
      </c>
      <c r="G59" s="5"/>
      <c r="H59" s="5"/>
      <c r="I59" s="5"/>
      <c r="J59" s="5"/>
      <c r="K59" s="5"/>
      <c r="L59" s="5"/>
      <c r="M59" s="5"/>
      <c r="N59" s="5"/>
      <c r="O59" s="5"/>
      <c r="P59" s="5">
        <v>2.83914E7</v>
      </c>
      <c r="Q59" s="5">
        <v>2.9609208E7</v>
      </c>
      <c r="R59" s="5">
        <v>2.8391399999999996E7</v>
      </c>
      <c r="S59" s="5">
        <v>3.725290298461914E-9</v>
      </c>
      <c r="T59" s="5">
        <v>-1217808.0</v>
      </c>
    </row>
    <row r="60">
      <c r="A60" s="1" t="s">
        <v>290</v>
      </c>
      <c r="B60" s="1" t="s">
        <v>291</v>
      </c>
      <c r="C60" s="1" t="s">
        <v>292</v>
      </c>
      <c r="D60" s="5" t="s">
        <v>60</v>
      </c>
      <c r="E60" s="1" t="s">
        <v>293</v>
      </c>
      <c r="F60" s="1" t="s">
        <v>294</v>
      </c>
      <c r="G60" s="5"/>
      <c r="H60" s="5"/>
      <c r="I60" s="5"/>
      <c r="J60" s="5"/>
      <c r="K60" s="5"/>
      <c r="L60" s="5"/>
      <c r="M60" s="5"/>
      <c r="N60" s="5"/>
      <c r="O60" s="5"/>
      <c r="P60" s="5">
        <v>868693.0</v>
      </c>
      <c r="Q60" s="5"/>
      <c r="R60" s="5">
        <v>2294.0</v>
      </c>
      <c r="S60" s="5">
        <v>866399.0</v>
      </c>
      <c r="T60" s="5">
        <v>868693.0</v>
      </c>
    </row>
    <row r="61">
      <c r="A61" s="1" t="s">
        <v>295</v>
      </c>
      <c r="B61" s="1" t="s">
        <v>296</v>
      </c>
      <c r="C61" s="1" t="s">
        <v>297</v>
      </c>
      <c r="D61" s="5" t="s">
        <v>60</v>
      </c>
      <c r="E61" s="1" t="s">
        <v>298</v>
      </c>
      <c r="F61" s="1" t="s">
        <v>299</v>
      </c>
      <c r="G61" s="5"/>
      <c r="H61" s="5"/>
      <c r="I61" s="5"/>
      <c r="J61" s="5"/>
      <c r="K61" s="5"/>
      <c r="L61" s="5"/>
      <c r="M61" s="5"/>
      <c r="N61" s="5"/>
      <c r="O61" s="5"/>
      <c r="P61" s="5">
        <v>606.3</v>
      </c>
      <c r="Q61" s="5">
        <v>606.3</v>
      </c>
      <c r="R61" s="5">
        <v>606.3</v>
      </c>
      <c r="S61" s="5">
        <v>0.0</v>
      </c>
      <c r="T61" s="5">
        <v>0.0</v>
      </c>
    </row>
    <row r="62">
      <c r="A62" s="1" t="s">
        <v>300</v>
      </c>
      <c r="B62" s="1" t="s">
        <v>301</v>
      </c>
      <c r="C62" s="1" t="s">
        <v>302</v>
      </c>
      <c r="D62" s="5" t="s">
        <v>60</v>
      </c>
      <c r="E62" s="1" t="s">
        <v>303</v>
      </c>
      <c r="F62" s="1" t="s">
        <v>299</v>
      </c>
      <c r="G62" s="5"/>
      <c r="H62" s="5"/>
      <c r="I62" s="5"/>
      <c r="J62" s="5"/>
      <c r="K62" s="5"/>
      <c r="L62" s="5"/>
      <c r="M62" s="5"/>
      <c r="N62" s="5"/>
      <c r="O62" s="5"/>
      <c r="P62" s="5">
        <v>31310.04</v>
      </c>
      <c r="Q62" s="5">
        <v>31310.04</v>
      </c>
      <c r="R62" s="5">
        <v>31310.04</v>
      </c>
      <c r="S62" s="5">
        <v>0.0</v>
      </c>
      <c r="T62" s="5">
        <v>0.0</v>
      </c>
    </row>
    <row r="63">
      <c r="A63" s="1" t="s">
        <v>304</v>
      </c>
      <c r="B63" s="1" t="s">
        <v>305</v>
      </c>
      <c r="C63" s="1" t="s">
        <v>306</v>
      </c>
      <c r="D63" s="5" t="s">
        <v>307</v>
      </c>
      <c r="E63" s="1" t="s">
        <v>308</v>
      </c>
      <c r="F63" s="1" t="s">
        <v>299</v>
      </c>
      <c r="G63" s="5"/>
      <c r="H63" s="5"/>
      <c r="I63" s="5"/>
      <c r="J63" s="5"/>
      <c r="K63" s="5"/>
      <c r="L63" s="5"/>
      <c r="M63" s="5"/>
      <c r="N63" s="5"/>
      <c r="O63" s="5"/>
      <c r="P63" s="5">
        <v>1884.28</v>
      </c>
      <c r="Q63" s="5">
        <v>1884.28</v>
      </c>
      <c r="R63" s="5">
        <v>1884.28</v>
      </c>
      <c r="S63" s="5">
        <v>0.0</v>
      </c>
      <c r="T63" s="5">
        <v>0.0</v>
      </c>
    </row>
    <row r="64">
      <c r="A64" s="1" t="s">
        <v>309</v>
      </c>
      <c r="B64" s="1" t="s">
        <v>310</v>
      </c>
      <c r="C64" s="1" t="s">
        <v>311</v>
      </c>
      <c r="D64" s="5" t="s">
        <v>307</v>
      </c>
      <c r="E64" s="1" t="s">
        <v>312</v>
      </c>
      <c r="F64" s="1" t="s">
        <v>313</v>
      </c>
      <c r="G64" s="5"/>
      <c r="H64" s="5"/>
      <c r="I64" s="5"/>
      <c r="J64" s="5"/>
      <c r="K64" s="5"/>
      <c r="L64" s="5"/>
      <c r="M64" s="5"/>
      <c r="N64" s="5"/>
      <c r="O64" s="5"/>
      <c r="P64" s="5">
        <v>11576.25</v>
      </c>
      <c r="Q64" s="5">
        <v>23152.5</v>
      </c>
      <c r="R64" s="5">
        <v>11576.25</v>
      </c>
      <c r="S64" s="5">
        <v>0.0</v>
      </c>
      <c r="T64" s="5">
        <v>-11576.25</v>
      </c>
    </row>
    <row r="65">
      <c r="A65" s="1" t="s">
        <v>314</v>
      </c>
      <c r="B65" s="1" t="s">
        <v>315</v>
      </c>
      <c r="C65" s="1" t="s">
        <v>316</v>
      </c>
      <c r="D65" s="5" t="s">
        <v>245</v>
      </c>
      <c r="E65" s="1" t="s">
        <v>317</v>
      </c>
      <c r="F65" s="1" t="s">
        <v>294</v>
      </c>
      <c r="G65" s="5"/>
      <c r="H65" s="5"/>
      <c r="I65" s="5"/>
      <c r="J65" s="5"/>
      <c r="K65" s="5"/>
      <c r="L65" s="5"/>
      <c r="M65" s="5"/>
      <c r="N65" s="5"/>
      <c r="O65" s="5"/>
      <c r="P65" s="5">
        <v>6727410.0</v>
      </c>
      <c r="Q65" s="5">
        <v>2836374.5</v>
      </c>
      <c r="R65" s="5">
        <v>2080327.33</v>
      </c>
      <c r="S65" s="5">
        <v>4647082.67</v>
      </c>
      <c r="T65" s="5">
        <v>3891035.5</v>
      </c>
    </row>
    <row r="66">
      <c r="A66" s="1" t="s">
        <v>318</v>
      </c>
      <c r="B66" s="1" t="s">
        <v>319</v>
      </c>
      <c r="C66" s="1" t="s">
        <v>320</v>
      </c>
      <c r="D66" s="5" t="s">
        <v>245</v>
      </c>
      <c r="E66" s="1" t="s">
        <v>321</v>
      </c>
      <c r="F66" s="1" t="s">
        <v>289</v>
      </c>
      <c r="G66" s="5"/>
      <c r="H66" s="5"/>
      <c r="I66" s="5"/>
      <c r="J66" s="5"/>
      <c r="K66" s="5"/>
      <c r="L66" s="5"/>
      <c r="M66" s="5"/>
      <c r="N66" s="5"/>
      <c r="O66" s="5"/>
      <c r="P66" s="5">
        <v>25992.0</v>
      </c>
      <c r="Q66" s="5">
        <v>25992.0</v>
      </c>
      <c r="R66" s="5">
        <v>19494.0</v>
      </c>
      <c r="S66" s="5">
        <v>6498.0</v>
      </c>
      <c r="T66" s="5">
        <v>0.0</v>
      </c>
    </row>
    <row r="67">
      <c r="A67" s="1" t="s">
        <v>322</v>
      </c>
      <c r="B67" s="1" t="s">
        <v>323</v>
      </c>
      <c r="C67" s="1" t="s">
        <v>324</v>
      </c>
      <c r="D67" s="5" t="s">
        <v>245</v>
      </c>
      <c r="E67" s="1" t="s">
        <v>325</v>
      </c>
      <c r="F67" s="1" t="s">
        <v>326</v>
      </c>
      <c r="G67" s="5"/>
      <c r="H67" s="5"/>
      <c r="I67" s="5"/>
      <c r="J67" s="5"/>
      <c r="K67" s="5"/>
      <c r="L67" s="5"/>
      <c r="M67" s="5"/>
      <c r="N67" s="5"/>
      <c r="O67" s="5"/>
      <c r="P67" s="5">
        <v>23800.0</v>
      </c>
      <c r="Q67" s="5">
        <v>22890.0</v>
      </c>
      <c r="R67" s="5">
        <v>6516.0</v>
      </c>
      <c r="S67" s="5">
        <v>17284.0</v>
      </c>
      <c r="T67" s="5">
        <v>910.0</v>
      </c>
    </row>
    <row r="68">
      <c r="A68" s="1" t="s">
        <v>327</v>
      </c>
      <c r="B68" s="1" t="s">
        <v>328</v>
      </c>
      <c r="C68" s="1" t="s">
        <v>329</v>
      </c>
      <c r="D68" s="5" t="s">
        <v>245</v>
      </c>
      <c r="E68" s="1" t="s">
        <v>330</v>
      </c>
      <c r="F68" s="1" t="s">
        <v>331</v>
      </c>
      <c r="G68" s="5"/>
      <c r="H68" s="5"/>
      <c r="I68" s="5"/>
      <c r="J68" s="5"/>
      <c r="K68" s="5"/>
      <c r="L68" s="5"/>
      <c r="M68" s="5"/>
      <c r="N68" s="5"/>
      <c r="O68" s="5"/>
      <c r="P68" s="5">
        <v>18720.0</v>
      </c>
      <c r="Q68" s="5">
        <v>13260.0</v>
      </c>
      <c r="R68" s="5">
        <v>10920.0</v>
      </c>
      <c r="S68" s="5">
        <v>7800.0</v>
      </c>
      <c r="T68" s="5">
        <v>5460.0</v>
      </c>
    </row>
    <row r="69">
      <c r="A69" s="1" t="s">
        <v>332</v>
      </c>
      <c r="B69" s="1" t="s">
        <v>333</v>
      </c>
      <c r="C69" s="1" t="s">
        <v>70</v>
      </c>
      <c r="D69" s="5" t="s">
        <v>60</v>
      </c>
      <c r="E69" s="1" t="s">
        <v>334</v>
      </c>
      <c r="F69" s="1" t="s">
        <v>335</v>
      </c>
      <c r="G69" s="5"/>
      <c r="H69" s="5"/>
      <c r="I69" s="5"/>
      <c r="J69" s="5"/>
      <c r="K69" s="5"/>
      <c r="L69" s="5"/>
      <c r="M69" s="5"/>
      <c r="N69" s="5"/>
      <c r="O69" s="5"/>
      <c r="P69" s="5">
        <v>362305.0</v>
      </c>
      <c r="Q69" s="5">
        <v>212552.00000000003</v>
      </c>
      <c r="R69" s="5">
        <v>250092.0</v>
      </c>
      <c r="S69" s="5">
        <v>112213.0</v>
      </c>
      <c r="T69" s="5">
        <v>149752.99999999997</v>
      </c>
    </row>
    <row r="70">
      <c r="A70" s="1" t="s">
        <v>336</v>
      </c>
      <c r="B70" s="1" t="s">
        <v>337</v>
      </c>
      <c r="C70" s="1" t="s">
        <v>338</v>
      </c>
      <c r="D70" s="5" t="s">
        <v>60</v>
      </c>
      <c r="E70" s="1" t="s">
        <v>339</v>
      </c>
      <c r="F70" s="1" t="s">
        <v>340</v>
      </c>
      <c r="G70" s="5"/>
      <c r="H70" s="5"/>
      <c r="I70" s="5"/>
      <c r="J70" s="5"/>
      <c r="K70" s="5"/>
      <c r="L70" s="5"/>
      <c r="M70" s="5"/>
      <c r="N70" s="5"/>
      <c r="O70" s="5"/>
      <c r="P70" s="5">
        <v>4580.84</v>
      </c>
      <c r="Q70" s="5">
        <v>4580.84</v>
      </c>
      <c r="R70" s="5">
        <v>0.0</v>
      </c>
      <c r="S70" s="1" t="s">
        <v>341</v>
      </c>
      <c r="T70" s="5">
        <v>0.0</v>
      </c>
    </row>
    <row r="71">
      <c r="A71" s="1" t="s">
        <v>342</v>
      </c>
      <c r="B71" s="1" t="s">
        <v>343</v>
      </c>
      <c r="C71" s="1" t="s">
        <v>344</v>
      </c>
      <c r="D71" s="5" t="s">
        <v>60</v>
      </c>
      <c r="E71" s="1" t="s">
        <v>345</v>
      </c>
      <c r="F71" s="1" t="s">
        <v>346</v>
      </c>
      <c r="G71" s="5"/>
      <c r="H71" s="5"/>
      <c r="I71" s="5"/>
      <c r="J71" s="5"/>
      <c r="K71" s="5"/>
      <c r="L71" s="5"/>
      <c r="M71" s="5"/>
      <c r="N71" s="5"/>
      <c r="O71" s="5"/>
      <c r="P71" s="5">
        <v>49062.0</v>
      </c>
      <c r="Q71" s="5">
        <v>44579.99999999999</v>
      </c>
      <c r="R71" s="5">
        <v>44579.999999999985</v>
      </c>
      <c r="S71" s="5">
        <v>4482.000000000015</v>
      </c>
      <c r="T71" s="5">
        <v>4482.000000000007</v>
      </c>
    </row>
    <row r="72">
      <c r="A72" s="1" t="s">
        <v>347</v>
      </c>
      <c r="B72" s="1" t="s">
        <v>348</v>
      </c>
      <c r="C72" s="1" t="s">
        <v>349</v>
      </c>
      <c r="D72" s="5" t="s">
        <v>307</v>
      </c>
      <c r="E72" s="1" t="s">
        <v>350</v>
      </c>
      <c r="F72" s="1" t="s">
        <v>351</v>
      </c>
      <c r="G72" s="5"/>
      <c r="H72" s="5"/>
      <c r="I72" s="5"/>
      <c r="J72" s="5"/>
      <c r="K72" s="5"/>
      <c r="L72" s="5"/>
      <c r="M72" s="5"/>
      <c r="N72" s="5"/>
      <c r="O72" s="5"/>
      <c r="P72" s="5">
        <v>2157351.38</v>
      </c>
      <c r="Q72" s="5"/>
      <c r="R72" s="5"/>
      <c r="S72" s="5">
        <v>2157351.38</v>
      </c>
      <c r="T72" s="5">
        <v>2157351.38</v>
      </c>
    </row>
    <row r="73">
      <c r="A73" s="1" t="s">
        <v>352</v>
      </c>
      <c r="B73" s="1" t="s">
        <v>353</v>
      </c>
      <c r="C73" s="1" t="s">
        <v>354</v>
      </c>
      <c r="D73" s="5" t="s">
        <v>60</v>
      </c>
      <c r="E73" s="1" t="s">
        <v>355</v>
      </c>
      <c r="F73" s="1" t="s">
        <v>356</v>
      </c>
      <c r="G73" s="5"/>
      <c r="H73" s="5"/>
      <c r="I73" s="5"/>
      <c r="J73" s="5"/>
      <c r="K73" s="5"/>
      <c r="L73" s="5"/>
      <c r="M73" s="5"/>
      <c r="N73" s="5"/>
      <c r="O73" s="5"/>
      <c r="P73" s="5">
        <v>136800.0</v>
      </c>
      <c r="Q73" s="5">
        <v>105967.84</v>
      </c>
      <c r="R73" s="5">
        <v>63530.88</v>
      </c>
      <c r="S73" s="5">
        <v>73269.12</v>
      </c>
      <c r="T73" s="5">
        <v>30832.160000000003</v>
      </c>
    </row>
    <row r="74">
      <c r="A74" s="1" t="s">
        <v>357</v>
      </c>
      <c r="B74" s="1" t="s">
        <v>358</v>
      </c>
      <c r="C74" s="1" t="s">
        <v>359</v>
      </c>
      <c r="D74" s="5" t="s">
        <v>60</v>
      </c>
      <c r="E74" s="1" t="s">
        <v>360</v>
      </c>
      <c r="F74" s="1" t="s">
        <v>361</v>
      </c>
      <c r="G74" s="5"/>
      <c r="H74" s="5"/>
      <c r="I74" s="5"/>
      <c r="J74" s="5"/>
      <c r="K74" s="5"/>
      <c r="L74" s="5"/>
      <c r="M74" s="5"/>
      <c r="N74" s="5"/>
      <c r="O74" s="5"/>
      <c r="P74" s="5">
        <v>8066700.0</v>
      </c>
      <c r="Q74" s="5">
        <v>8066700.0</v>
      </c>
      <c r="R74" s="5">
        <v>5552120.35</v>
      </c>
      <c r="S74" s="5">
        <v>2514579.6500000004</v>
      </c>
      <c r="T74" s="5">
        <v>0.0</v>
      </c>
    </row>
    <row r="75">
      <c r="A75" s="1" t="s">
        <v>362</v>
      </c>
      <c r="B75" s="1" t="s">
        <v>363</v>
      </c>
      <c r="C75" s="1" t="s">
        <v>364</v>
      </c>
      <c r="D75" s="5" t="s">
        <v>245</v>
      </c>
      <c r="E75" s="1" t="s">
        <v>365</v>
      </c>
      <c r="F75" s="1" t="s">
        <v>366</v>
      </c>
      <c r="G75" s="5"/>
      <c r="H75" s="5"/>
      <c r="I75" s="5"/>
      <c r="J75" s="5"/>
      <c r="K75" s="5"/>
      <c r="L75" s="5"/>
      <c r="M75" s="5"/>
      <c r="N75" s="5"/>
      <c r="O75" s="5"/>
      <c r="P75" s="5">
        <v>1444062.72</v>
      </c>
      <c r="Q75" s="5">
        <v>771920.8200000001</v>
      </c>
      <c r="R75" s="5">
        <v>334899.79000000004</v>
      </c>
      <c r="S75" s="5">
        <v>1109162.93</v>
      </c>
      <c r="T75" s="5">
        <v>672141.8999999999</v>
      </c>
    </row>
    <row r="76">
      <c r="A76" s="1" t="s">
        <v>367</v>
      </c>
      <c r="B76" s="1" t="s">
        <v>368</v>
      </c>
      <c r="C76" s="1" t="s">
        <v>54</v>
      </c>
      <c r="D76" s="5" t="s">
        <v>307</v>
      </c>
      <c r="E76" s="1" t="s">
        <v>369</v>
      </c>
      <c r="F76" s="1" t="s">
        <v>370</v>
      </c>
      <c r="G76" s="5"/>
      <c r="H76" s="5"/>
      <c r="I76" s="5"/>
      <c r="J76" s="5"/>
      <c r="K76" s="5"/>
      <c r="L76" s="5"/>
      <c r="M76" s="5"/>
      <c r="N76" s="5"/>
      <c r="O76" s="5"/>
      <c r="P76" s="5" t="e">
        <v>#REF!</v>
      </c>
      <c r="Q76" s="5" t="e">
        <v>#REF!</v>
      </c>
      <c r="R76" s="5" t="e">
        <v>#REF!</v>
      </c>
      <c r="S76" s="5" t="e">
        <v>#REF!</v>
      </c>
      <c r="T76" s="5" t="e">
        <v>#REF!</v>
      </c>
    </row>
    <row r="77">
      <c r="A77" s="1" t="s">
        <v>371</v>
      </c>
      <c r="B77" s="1" t="s">
        <v>372</v>
      </c>
      <c r="C77" s="1" t="s">
        <v>373</v>
      </c>
      <c r="D77" s="5" t="s">
        <v>307</v>
      </c>
      <c r="E77" s="1" t="s">
        <v>374</v>
      </c>
      <c r="F77" s="1" t="s">
        <v>375</v>
      </c>
      <c r="G77" s="5"/>
      <c r="H77" s="5"/>
      <c r="I77" s="5"/>
      <c r="J77" s="5"/>
      <c r="K77" s="5"/>
      <c r="L77" s="5"/>
      <c r="M77" s="5"/>
      <c r="N77" s="5"/>
      <c r="O77" s="5"/>
      <c r="P77" s="5">
        <v>3314220.0</v>
      </c>
      <c r="Q77" s="6"/>
      <c r="R77" s="5"/>
      <c r="S77" s="5">
        <v>3314220.0</v>
      </c>
      <c r="T77" s="5">
        <v>3314220.0</v>
      </c>
    </row>
    <row r="78">
      <c r="A78" s="1" t="s">
        <v>376</v>
      </c>
      <c r="B78" s="1" t="s">
        <v>377</v>
      </c>
      <c r="C78" s="1" t="s">
        <v>378</v>
      </c>
      <c r="D78" s="5" t="s">
        <v>60</v>
      </c>
      <c r="E78" s="1" t="s">
        <v>379</v>
      </c>
      <c r="F78" s="1" t="s">
        <v>380</v>
      </c>
      <c r="G78" s="5"/>
      <c r="H78" s="5"/>
      <c r="I78" s="5"/>
      <c r="J78" s="5"/>
      <c r="K78" s="5"/>
      <c r="L78" s="5"/>
      <c r="M78" s="5"/>
      <c r="N78" s="5"/>
      <c r="O78" s="5"/>
      <c r="P78" s="5">
        <v>18513.5</v>
      </c>
      <c r="Q78" s="6">
        <v>18513.5</v>
      </c>
      <c r="R78" s="5">
        <v>166.55</v>
      </c>
      <c r="S78" s="5">
        <v>18346.95</v>
      </c>
      <c r="T78" s="5">
        <v>0.0</v>
      </c>
    </row>
    <row r="79">
      <c r="A79" s="1" t="s">
        <v>381</v>
      </c>
      <c r="B79" s="1" t="s">
        <v>382</v>
      </c>
      <c r="C79" s="1" t="s">
        <v>383</v>
      </c>
      <c r="D79" s="5" t="s">
        <v>245</v>
      </c>
      <c r="E79" s="1" t="s">
        <v>384</v>
      </c>
      <c r="F79" s="1" t="s">
        <v>385</v>
      </c>
      <c r="G79" s="5"/>
      <c r="H79" s="5"/>
      <c r="I79" s="5"/>
      <c r="J79" s="5"/>
      <c r="K79" s="5"/>
      <c r="L79" s="5"/>
      <c r="M79" s="5"/>
      <c r="N79" s="5"/>
      <c r="O79" s="5"/>
      <c r="P79" s="5">
        <v>290864.1</v>
      </c>
      <c r="Q79" s="5">
        <v>350864.1</v>
      </c>
      <c r="R79" s="5">
        <v>25647.43</v>
      </c>
      <c r="S79" s="5">
        <v>265216.67</v>
      </c>
      <c r="T79" s="5">
        <v>-60000.0</v>
      </c>
    </row>
    <row r="80">
      <c r="A80" s="1" t="s">
        <v>386</v>
      </c>
      <c r="B80" s="1" t="s">
        <v>387</v>
      </c>
      <c r="C80" s="1" t="s">
        <v>388</v>
      </c>
      <c r="D80" s="5" t="s">
        <v>245</v>
      </c>
      <c r="E80" s="1" t="s">
        <v>389</v>
      </c>
      <c r="F80" s="1" t="s">
        <v>390</v>
      </c>
      <c r="G80" s="5"/>
      <c r="H80" s="5"/>
      <c r="I80" s="5"/>
      <c r="J80" s="5"/>
      <c r="K80" s="5"/>
      <c r="L80" s="5"/>
      <c r="M80" s="5"/>
      <c r="N80" s="5"/>
      <c r="O80" s="5"/>
      <c r="P80" s="5">
        <v>2375115.84</v>
      </c>
      <c r="Q80" s="5">
        <v>1476104.5099999998</v>
      </c>
      <c r="R80" s="5">
        <v>918848.5700000001</v>
      </c>
      <c r="S80" s="5">
        <v>1456267.2699999998</v>
      </c>
      <c r="T80" s="5">
        <v>899011.3300000001</v>
      </c>
    </row>
    <row r="81">
      <c r="A81" s="1" t="s">
        <v>391</v>
      </c>
      <c r="B81" s="1" t="s">
        <v>392</v>
      </c>
      <c r="C81" s="1" t="s">
        <v>393</v>
      </c>
      <c r="D81" s="5" t="s">
        <v>307</v>
      </c>
      <c r="E81" s="1" t="s">
        <v>394</v>
      </c>
      <c r="F81" s="1" t="s">
        <v>395</v>
      </c>
      <c r="G81" s="5"/>
      <c r="H81" s="5"/>
      <c r="I81" s="5"/>
      <c r="J81" s="5"/>
      <c r="K81" s="5"/>
      <c r="L81" s="5"/>
      <c r="M81" s="5"/>
      <c r="N81" s="5"/>
      <c r="O81" s="5"/>
      <c r="P81" s="5">
        <v>2004000.0</v>
      </c>
      <c r="Q81" s="5">
        <v>1740975.0</v>
      </c>
      <c r="R81" s="5">
        <v>1740975.0</v>
      </c>
      <c r="S81" s="5">
        <v>263025.0</v>
      </c>
      <c r="T81" s="5">
        <v>263025.0</v>
      </c>
    </row>
    <row r="82">
      <c r="A82" s="1" t="s">
        <v>396</v>
      </c>
      <c r="B82" s="1" t="s">
        <v>397</v>
      </c>
      <c r="C82" s="1" t="s">
        <v>398</v>
      </c>
      <c r="D82" s="5" t="s">
        <v>307</v>
      </c>
      <c r="E82" s="1" t="s">
        <v>399</v>
      </c>
      <c r="F82" s="1" t="s">
        <v>400</v>
      </c>
      <c r="G82" s="5"/>
      <c r="H82" s="5"/>
      <c r="I82" s="5"/>
      <c r="J82" s="5"/>
      <c r="K82" s="5"/>
      <c r="L82" s="5"/>
      <c r="M82" s="5"/>
      <c r="N82" s="5"/>
      <c r="O82" s="5"/>
      <c r="P82" s="5">
        <v>1654715.3</v>
      </c>
      <c r="Q82" s="5">
        <v>136096.39</v>
      </c>
      <c r="R82" s="5">
        <v>136096.39</v>
      </c>
      <c r="S82" s="5">
        <v>1518618.9100000001</v>
      </c>
      <c r="T82" s="5">
        <v>1518618.9100000001</v>
      </c>
    </row>
    <row r="83">
      <c r="A83" s="1" t="s">
        <v>401</v>
      </c>
      <c r="B83" s="1" t="s">
        <v>402</v>
      </c>
      <c r="C83" s="1" t="s">
        <v>403</v>
      </c>
      <c r="D83" s="5" t="s">
        <v>245</v>
      </c>
      <c r="E83" s="1" t="s">
        <v>404</v>
      </c>
      <c r="F83" s="1" t="s">
        <v>405</v>
      </c>
      <c r="G83" s="5"/>
      <c r="H83" s="5"/>
      <c r="I83" s="5"/>
      <c r="J83" s="5"/>
      <c r="K83" s="5"/>
      <c r="L83" s="5"/>
      <c r="M83" s="5"/>
      <c r="N83" s="5"/>
      <c r="O83" s="5"/>
      <c r="P83" s="5">
        <v>297600.0</v>
      </c>
      <c r="Q83" s="5">
        <v>254509.99999999994</v>
      </c>
      <c r="R83" s="5">
        <v>218136.66999999998</v>
      </c>
      <c r="S83" s="5">
        <v>79463.33000000002</v>
      </c>
      <c r="T83" s="5">
        <v>43090.00000000006</v>
      </c>
    </row>
    <row r="84">
      <c r="A84" s="1" t="s">
        <v>406</v>
      </c>
      <c r="B84" s="1" t="s">
        <v>407</v>
      </c>
      <c r="C84" s="1" t="s">
        <v>403</v>
      </c>
      <c r="D84" s="5" t="s">
        <v>245</v>
      </c>
      <c r="E84" s="1" t="s">
        <v>408</v>
      </c>
      <c r="F84" s="1" t="s">
        <v>405</v>
      </c>
      <c r="G84" s="5"/>
      <c r="H84" s="5"/>
      <c r="I84" s="5"/>
      <c r="J84" s="5"/>
      <c r="K84" s="5"/>
      <c r="L84" s="5"/>
      <c r="M84" s="5"/>
      <c r="N84" s="5"/>
      <c r="O84" s="5"/>
      <c r="P84" s="5">
        <v>303542.4</v>
      </c>
      <c r="Q84" s="5">
        <v>282716.02</v>
      </c>
      <c r="R84" s="5">
        <v>232968.79000000007</v>
      </c>
      <c r="S84" s="5">
        <v>70573.60999999996</v>
      </c>
      <c r="T84" s="5">
        <v>20826.380000000005</v>
      </c>
    </row>
    <row r="85">
      <c r="A85" s="1" t="s">
        <v>409</v>
      </c>
      <c r="B85" s="1" t="s">
        <v>410</v>
      </c>
      <c r="C85" s="1" t="s">
        <v>411</v>
      </c>
      <c r="D85" s="5" t="s">
        <v>245</v>
      </c>
      <c r="E85" s="1" t="s">
        <v>412</v>
      </c>
      <c r="F85" s="1" t="s">
        <v>413</v>
      </c>
      <c r="G85" s="5"/>
      <c r="H85" s="5"/>
      <c r="I85" s="5"/>
      <c r="J85" s="5"/>
      <c r="K85" s="5"/>
      <c r="L85" s="5"/>
      <c r="M85" s="5"/>
      <c r="N85" s="5"/>
      <c r="O85" s="5"/>
      <c r="P85" s="5">
        <v>13172.4</v>
      </c>
      <c r="Q85" s="5">
        <v>12109.070000000002</v>
      </c>
      <c r="R85" s="5">
        <v>6797.309999999997</v>
      </c>
      <c r="S85" s="5">
        <v>6375.090000000003</v>
      </c>
      <c r="T85" s="5">
        <v>1063.329999999998</v>
      </c>
    </row>
    <row r="86">
      <c r="A86" s="1" t="s">
        <v>414</v>
      </c>
      <c r="B86" s="1" t="s">
        <v>415</v>
      </c>
      <c r="C86" s="1" t="s">
        <v>416</v>
      </c>
      <c r="D86" s="5" t="s">
        <v>245</v>
      </c>
      <c r="E86" s="1" t="s">
        <v>417</v>
      </c>
      <c r="F86" s="1" t="s">
        <v>418</v>
      </c>
      <c r="G86" s="5"/>
      <c r="H86" s="5"/>
      <c r="I86" s="5"/>
      <c r="J86" s="5"/>
      <c r="K86" s="5"/>
      <c r="L86" s="5"/>
      <c r="M86" s="5"/>
      <c r="N86" s="5"/>
      <c r="O86" s="5"/>
      <c r="P86" s="5">
        <v>9964.8</v>
      </c>
      <c r="Q86" s="5">
        <v>9715.68</v>
      </c>
      <c r="R86" s="5">
        <v>6463.280000000002</v>
      </c>
      <c r="S86" s="5">
        <v>3501.5199999999977</v>
      </c>
      <c r="T86" s="5">
        <v>249.11999999999898</v>
      </c>
    </row>
    <row r="87">
      <c r="A87" s="1" t="s">
        <v>419</v>
      </c>
      <c r="B87" s="1" t="s">
        <v>420</v>
      </c>
      <c r="C87" s="1" t="s">
        <v>421</v>
      </c>
      <c r="D87" s="5" t="s">
        <v>245</v>
      </c>
      <c r="E87" s="1" t="s">
        <v>422</v>
      </c>
      <c r="F87" s="1" t="s">
        <v>423</v>
      </c>
      <c r="G87" s="5"/>
      <c r="H87" s="5"/>
      <c r="I87" s="5"/>
      <c r="J87" s="5"/>
      <c r="K87" s="5"/>
      <c r="L87" s="5"/>
      <c r="M87" s="5"/>
      <c r="N87" s="5"/>
      <c r="O87" s="5"/>
      <c r="P87" s="5">
        <v>3971520.0</v>
      </c>
      <c r="Q87" s="5">
        <v>4228592.33</v>
      </c>
      <c r="R87" s="5">
        <v>3047392.6999999997</v>
      </c>
      <c r="S87" s="5">
        <v>924127.3000000003</v>
      </c>
      <c r="T87" s="5">
        <v>-257072.33000000007</v>
      </c>
    </row>
    <row r="88">
      <c r="A88" s="1" t="s">
        <v>424</v>
      </c>
      <c r="B88" s="1" t="s">
        <v>425</v>
      </c>
      <c r="C88" s="1" t="s">
        <v>426</v>
      </c>
      <c r="D88" s="5" t="s">
        <v>245</v>
      </c>
      <c r="E88" s="1" t="s">
        <v>427</v>
      </c>
      <c r="F88" s="1" t="s">
        <v>428</v>
      </c>
      <c r="G88" s="5"/>
      <c r="H88" s="5"/>
      <c r="I88" s="5"/>
      <c r="J88" s="5"/>
      <c r="K88" s="5"/>
      <c r="L88" s="5"/>
      <c r="M88" s="5"/>
      <c r="N88" s="5"/>
      <c r="O88" s="5"/>
      <c r="P88" s="5">
        <v>378000.0</v>
      </c>
      <c r="Q88" s="5">
        <v>378000.0</v>
      </c>
      <c r="R88" s="5">
        <v>378000.0</v>
      </c>
      <c r="S88" s="5">
        <v>0.0</v>
      </c>
      <c r="T88" s="5">
        <v>0.0</v>
      </c>
    </row>
    <row r="89">
      <c r="A89" s="1" t="s">
        <v>429</v>
      </c>
      <c r="B89" s="1" t="s">
        <v>430</v>
      </c>
      <c r="C89" s="1" t="s">
        <v>431</v>
      </c>
      <c r="D89" s="5" t="s">
        <v>245</v>
      </c>
      <c r="E89" s="1" t="s">
        <v>432</v>
      </c>
      <c r="F89" s="1" t="s">
        <v>433</v>
      </c>
      <c r="G89" s="9"/>
      <c r="H89" s="9"/>
      <c r="I89" s="9"/>
      <c r="J89" s="9"/>
      <c r="K89" s="9"/>
      <c r="L89" s="9"/>
      <c r="M89" s="9"/>
      <c r="N89" s="9"/>
      <c r="O89" s="9"/>
      <c r="P89" s="9">
        <v>1030000.0</v>
      </c>
      <c r="Q89" s="5">
        <v>952395.4800000002</v>
      </c>
      <c r="R89" s="5">
        <v>932395.5799999998</v>
      </c>
      <c r="S89" s="9">
        <v>97604.42000000016</v>
      </c>
      <c r="T89" s="9">
        <v>77604.51999999979</v>
      </c>
    </row>
    <row r="90">
      <c r="A90" s="1" t="s">
        <v>434</v>
      </c>
      <c r="B90" s="1" t="s">
        <v>435</v>
      </c>
      <c r="C90" s="1" t="s">
        <v>436</v>
      </c>
      <c r="D90" s="5" t="s">
        <v>245</v>
      </c>
      <c r="E90" s="1" t="s">
        <v>437</v>
      </c>
      <c r="F90" s="1" t="s">
        <v>438</v>
      </c>
      <c r="G90" s="5"/>
      <c r="H90" s="5"/>
      <c r="I90" s="5"/>
      <c r="J90" s="5"/>
      <c r="K90" s="5"/>
      <c r="L90" s="5"/>
      <c r="M90" s="5"/>
      <c r="N90" s="5"/>
      <c r="O90" s="5"/>
      <c r="P90" s="5">
        <v>371640.0</v>
      </c>
      <c r="Q90" s="5">
        <v>474976.56</v>
      </c>
      <c r="R90" s="5">
        <v>405294.06</v>
      </c>
      <c r="S90" s="5">
        <v>-33654.06</v>
      </c>
      <c r="T90" s="5">
        <v>-103336.56</v>
      </c>
    </row>
    <row r="91">
      <c r="A91" s="1" t="s">
        <v>439</v>
      </c>
      <c r="B91" s="1" t="s">
        <v>440</v>
      </c>
      <c r="C91" s="1" t="s">
        <v>403</v>
      </c>
      <c r="D91" s="5" t="s">
        <v>441</v>
      </c>
      <c r="E91" s="1" t="s">
        <v>442</v>
      </c>
      <c r="F91" s="1" t="s">
        <v>443</v>
      </c>
      <c r="G91" s="5"/>
      <c r="H91" s="5"/>
      <c r="I91" s="5"/>
      <c r="J91" s="5"/>
      <c r="K91" s="5"/>
      <c r="L91" s="5"/>
      <c r="M91" s="5"/>
      <c r="N91" s="5"/>
      <c r="O91" s="5"/>
      <c r="P91" s="5">
        <v>2348685.84</v>
      </c>
      <c r="Q91" s="5">
        <v>372775.17</v>
      </c>
      <c r="R91" s="5">
        <v>2258899.4199999995</v>
      </c>
      <c r="S91" s="5">
        <v>89786.42000000039</v>
      </c>
      <c r="T91" s="5">
        <v>1975910.67</v>
      </c>
    </row>
    <row r="92">
      <c r="A92" s="1" t="s">
        <v>444</v>
      </c>
      <c r="B92" s="1" t="s">
        <v>445</v>
      </c>
      <c r="C92" s="1" t="s">
        <v>446</v>
      </c>
      <c r="D92" s="5" t="s">
        <v>245</v>
      </c>
      <c r="E92" s="1" t="s">
        <v>447</v>
      </c>
      <c r="F92" s="1" t="s">
        <v>448</v>
      </c>
      <c r="G92" s="5"/>
      <c r="H92" s="5"/>
      <c r="I92" s="5"/>
      <c r="J92" s="5"/>
      <c r="K92" s="5"/>
      <c r="L92" s="5"/>
      <c r="M92" s="5"/>
      <c r="N92" s="5"/>
      <c r="O92" s="5"/>
      <c r="P92" s="5">
        <v>488471.1</v>
      </c>
      <c r="Q92" s="5">
        <v>498111.75000000006</v>
      </c>
      <c r="R92" s="5">
        <v>432854.3399999999</v>
      </c>
      <c r="S92" s="5">
        <v>55616.76000000007</v>
      </c>
      <c r="T92" s="5">
        <v>-9640.650000000081</v>
      </c>
    </row>
    <row r="93">
      <c r="A93" s="1" t="s">
        <v>449</v>
      </c>
      <c r="B93" s="1" t="s">
        <v>450</v>
      </c>
      <c r="C93" s="1" t="s">
        <v>451</v>
      </c>
      <c r="D93" s="5" t="s">
        <v>245</v>
      </c>
      <c r="E93" s="1" t="s">
        <v>452</v>
      </c>
      <c r="F93" s="1" t="s">
        <v>453</v>
      </c>
      <c r="G93" s="5"/>
      <c r="H93" s="5"/>
      <c r="I93" s="5"/>
      <c r="J93" s="5"/>
      <c r="K93" s="5"/>
      <c r="L93" s="5"/>
      <c r="M93" s="5"/>
      <c r="N93" s="5"/>
      <c r="O93" s="5"/>
      <c r="P93" s="5">
        <v>933386.0399999999</v>
      </c>
      <c r="Q93" s="5">
        <v>691557.36</v>
      </c>
      <c r="R93" s="5">
        <v>295428.79000000004</v>
      </c>
      <c r="S93" s="5">
        <v>637957.2499999999</v>
      </c>
      <c r="T93" s="5">
        <v>241828.67999999993</v>
      </c>
    </row>
    <row r="94">
      <c r="A94" s="1" t="s">
        <v>454</v>
      </c>
      <c r="B94" s="1" t="s">
        <v>455</v>
      </c>
      <c r="C94" s="1" t="s">
        <v>456</v>
      </c>
      <c r="D94" s="5" t="s">
        <v>245</v>
      </c>
      <c r="E94" s="1" t="s">
        <v>457</v>
      </c>
      <c r="F94" s="1" t="s">
        <v>458</v>
      </c>
      <c r="G94" s="5"/>
      <c r="H94" s="5"/>
      <c r="I94" s="5"/>
      <c r="J94" s="5"/>
      <c r="K94" s="5"/>
      <c r="L94" s="5"/>
      <c r="M94" s="5"/>
      <c r="N94" s="5"/>
      <c r="O94" s="5"/>
      <c r="P94" s="5">
        <v>2.240732628E8</v>
      </c>
      <c r="Q94" s="5"/>
      <c r="S94" s="5">
        <v>2.240732628E8</v>
      </c>
      <c r="T94" s="5">
        <v>2.240732628E8</v>
      </c>
    </row>
    <row r="95">
      <c r="A95" s="1" t="s">
        <v>459</v>
      </c>
      <c r="B95" s="1" t="s">
        <v>460</v>
      </c>
      <c r="C95" s="1" t="s">
        <v>461</v>
      </c>
      <c r="D95" s="5" t="s">
        <v>245</v>
      </c>
      <c r="E95" s="1" t="s">
        <v>462</v>
      </c>
      <c r="F95" s="1" t="s">
        <v>463</v>
      </c>
      <c r="G95" s="5"/>
      <c r="H95" s="5"/>
      <c r="I95" s="5"/>
      <c r="J95" s="5"/>
      <c r="K95" s="5"/>
      <c r="L95" s="5"/>
      <c r="M95" s="5"/>
      <c r="N95" s="5"/>
      <c r="O95" s="5"/>
      <c r="P95" s="5" t="e">
        <v>#REF!</v>
      </c>
      <c r="S95" s="1" t="s">
        <v>464</v>
      </c>
    </row>
    <row r="96">
      <c r="A96" s="1" t="s">
        <v>465</v>
      </c>
      <c r="B96" s="1" t="s">
        <v>466</v>
      </c>
      <c r="C96" s="1" t="s">
        <v>467</v>
      </c>
      <c r="D96" s="5" t="s">
        <v>60</v>
      </c>
      <c r="E96" s="1" t="s">
        <v>468</v>
      </c>
      <c r="F96" s="1" t="s">
        <v>469</v>
      </c>
      <c r="G96" s="5"/>
      <c r="H96" s="5"/>
      <c r="I96" s="5"/>
      <c r="J96" s="5"/>
      <c r="K96" s="5"/>
      <c r="L96" s="5"/>
      <c r="M96" s="5"/>
      <c r="N96" s="5"/>
      <c r="O96" s="5"/>
      <c r="P96" s="5">
        <v>1112129.1</v>
      </c>
      <c r="Q96" s="6">
        <v>0.0</v>
      </c>
      <c r="R96" s="5">
        <v>288231.81</v>
      </c>
      <c r="S96" s="5">
        <v>823897.29</v>
      </c>
      <c r="T96" s="5">
        <v>1112129.1</v>
      </c>
    </row>
    <row r="97">
      <c r="A97" s="1" t="s">
        <v>470</v>
      </c>
      <c r="B97" s="1" t="s">
        <v>471</v>
      </c>
      <c r="C97" s="1" t="s">
        <v>472</v>
      </c>
      <c r="D97" s="5" t="s">
        <v>60</v>
      </c>
      <c r="E97" s="1" t="s">
        <v>473</v>
      </c>
      <c r="F97" s="1" t="s">
        <v>474</v>
      </c>
      <c r="G97" s="5"/>
      <c r="H97" s="5"/>
      <c r="I97" s="5"/>
      <c r="J97" s="5"/>
      <c r="K97" s="5"/>
      <c r="L97" s="5"/>
      <c r="M97" s="5"/>
      <c r="N97" s="5"/>
      <c r="O97" s="5"/>
      <c r="P97" s="5">
        <v>6.8757328E7</v>
      </c>
      <c r="S97" s="1" t="s">
        <v>475</v>
      </c>
    </row>
    <row r="98">
      <c r="A98" s="1" t="s">
        <v>476</v>
      </c>
      <c r="B98" s="1" t="s">
        <v>477</v>
      </c>
      <c r="C98" s="1" t="s">
        <v>79</v>
      </c>
      <c r="D98" s="5" t="s">
        <v>245</v>
      </c>
      <c r="E98" s="1" t="s">
        <v>478</v>
      </c>
      <c r="F98" s="1" t="s">
        <v>479</v>
      </c>
      <c r="G98" s="5"/>
      <c r="H98" s="5"/>
      <c r="I98" s="5"/>
      <c r="J98" s="5"/>
      <c r="K98" s="5"/>
      <c r="L98" s="5"/>
      <c r="M98" s="5"/>
      <c r="N98" s="5"/>
      <c r="O98" s="5"/>
      <c r="P98" s="5">
        <v>2001010.56</v>
      </c>
      <c r="S98" s="1" t="s">
        <v>480</v>
      </c>
    </row>
    <row r="99">
      <c r="A99" s="1" t="s">
        <v>481</v>
      </c>
      <c r="B99" s="1" t="s">
        <v>482</v>
      </c>
      <c r="C99" s="1" t="s">
        <v>483</v>
      </c>
      <c r="D99" s="5" t="s">
        <v>245</v>
      </c>
      <c r="E99" s="1" t="s">
        <v>484</v>
      </c>
      <c r="F99" s="1" t="s">
        <v>485</v>
      </c>
      <c r="G99" s="5"/>
      <c r="H99" s="5"/>
      <c r="I99" s="5"/>
      <c r="J99" s="5"/>
      <c r="K99" s="5"/>
      <c r="L99" s="5"/>
      <c r="M99" s="5"/>
      <c r="N99" s="5"/>
      <c r="O99" s="5"/>
      <c r="P99" s="5">
        <v>15376.34</v>
      </c>
      <c r="Q99" s="5">
        <v>15376.34</v>
      </c>
      <c r="R99" s="5">
        <v>15376.34</v>
      </c>
      <c r="S99" s="5">
        <v>0.0</v>
      </c>
      <c r="T99" s="5">
        <v>0.0</v>
      </c>
    </row>
    <row r="100">
      <c r="A100" s="1" t="s">
        <v>486</v>
      </c>
      <c r="B100" s="1" t="s">
        <v>487</v>
      </c>
      <c r="C100" s="1" t="s">
        <v>488</v>
      </c>
      <c r="D100" s="5" t="s">
        <v>489</v>
      </c>
      <c r="E100" s="1" t="s">
        <v>490</v>
      </c>
      <c r="F100" s="1" t="s">
        <v>491</v>
      </c>
      <c r="G100" s="5"/>
      <c r="H100" s="5"/>
      <c r="I100" s="5"/>
      <c r="J100" s="5"/>
      <c r="K100" s="5"/>
      <c r="L100" s="5"/>
      <c r="M100" s="5"/>
      <c r="N100" s="5"/>
      <c r="O100" s="5"/>
      <c r="P100" s="5">
        <v>1.4960025450000001E7</v>
      </c>
      <c r="Q100" s="5">
        <v>2.056642961E7</v>
      </c>
      <c r="R100" s="5">
        <v>1.463605791E7</v>
      </c>
      <c r="S100" s="5">
        <v>323967.54000000097</v>
      </c>
      <c r="T100" s="5">
        <v>-5606404.159999998</v>
      </c>
    </row>
    <row r="101">
      <c r="A101" s="1" t="s">
        <v>492</v>
      </c>
      <c r="B101" s="1" t="s">
        <v>493</v>
      </c>
      <c r="C101" s="1" t="s">
        <v>494</v>
      </c>
      <c r="D101" s="5" t="s">
        <v>245</v>
      </c>
      <c r="E101" s="1" t="s">
        <v>495</v>
      </c>
      <c r="F101" s="1" t="s">
        <v>496</v>
      </c>
      <c r="G101" s="5"/>
      <c r="H101" s="5"/>
      <c r="I101" s="5"/>
      <c r="J101" s="5"/>
      <c r="K101" s="5"/>
      <c r="L101" s="5"/>
      <c r="M101" s="5"/>
      <c r="N101" s="5"/>
      <c r="O101" s="5"/>
      <c r="P101" s="5">
        <v>95655.24</v>
      </c>
      <c r="Q101" s="5">
        <v>100161.81999999998</v>
      </c>
      <c r="R101" s="5">
        <v>103190.93000000004</v>
      </c>
      <c r="S101" s="5">
        <v>-7535.690000000031</v>
      </c>
      <c r="T101" s="5">
        <v>-4506.579999999973</v>
      </c>
    </row>
    <row r="102">
      <c r="A102" s="1" t="s">
        <v>497</v>
      </c>
      <c r="B102" s="1" t="s">
        <v>498</v>
      </c>
      <c r="C102" s="1" t="s">
        <v>499</v>
      </c>
      <c r="D102" s="5" t="s">
        <v>245</v>
      </c>
      <c r="E102" s="1" t="s">
        <v>500</v>
      </c>
      <c r="F102" s="1" t="s">
        <v>501</v>
      </c>
      <c r="G102" s="5"/>
      <c r="H102" s="5"/>
      <c r="I102" s="5"/>
      <c r="J102" s="5"/>
      <c r="K102" s="5"/>
      <c r="L102" s="5"/>
      <c r="M102" s="5"/>
      <c r="N102" s="5"/>
      <c r="O102" s="5"/>
      <c r="P102" s="5">
        <v>1.38672E7</v>
      </c>
      <c r="Q102" s="5">
        <v>1.6474680129999999E7</v>
      </c>
      <c r="R102" s="5">
        <v>6397343.109999999</v>
      </c>
      <c r="S102" s="5">
        <v>7469856.890000001</v>
      </c>
      <c r="T102" s="5">
        <v>-2607480.129999999</v>
      </c>
    </row>
    <row r="103">
      <c r="A103" s="1" t="s">
        <v>502</v>
      </c>
      <c r="B103" s="1" t="s">
        <v>503</v>
      </c>
      <c r="C103" s="1" t="s">
        <v>504</v>
      </c>
      <c r="D103" s="5" t="s">
        <v>245</v>
      </c>
      <c r="E103" s="1" t="s">
        <v>505</v>
      </c>
      <c r="F103" s="1" t="s">
        <v>506</v>
      </c>
      <c r="G103" s="5"/>
      <c r="H103" s="5"/>
      <c r="I103" s="5"/>
      <c r="J103" s="5"/>
      <c r="K103" s="5"/>
      <c r="L103" s="5"/>
      <c r="M103" s="5"/>
      <c r="N103" s="5"/>
      <c r="O103" s="5"/>
      <c r="P103" s="5">
        <v>898500.0</v>
      </c>
      <c r="Q103" s="5">
        <v>3572917.77</v>
      </c>
      <c r="R103" s="5">
        <v>2250568.3599999994</v>
      </c>
      <c r="S103" s="5">
        <v>-1352068.3599999994</v>
      </c>
      <c r="T103" s="5">
        <v>-2674417.77</v>
      </c>
    </row>
    <row r="104">
      <c r="A104" s="1" t="s">
        <v>507</v>
      </c>
      <c r="B104" s="1" t="s">
        <v>508</v>
      </c>
      <c r="C104" s="1" t="s">
        <v>509</v>
      </c>
      <c r="D104" s="5" t="s">
        <v>245</v>
      </c>
      <c r="E104" s="1" t="s">
        <v>510</v>
      </c>
      <c r="F104" s="1" t="s">
        <v>511</v>
      </c>
      <c r="G104" s="5"/>
      <c r="H104" s="5"/>
      <c r="I104" s="5"/>
      <c r="J104" s="5"/>
      <c r="K104" s="5"/>
      <c r="L104" s="5"/>
      <c r="M104" s="5"/>
      <c r="N104" s="5"/>
      <c r="O104" s="5"/>
      <c r="P104" s="5">
        <v>46749.6</v>
      </c>
      <c r="Q104" s="5">
        <v>240241.0</v>
      </c>
      <c r="R104" s="5">
        <v>159727.0</v>
      </c>
      <c r="S104" s="5">
        <v>-112977.4</v>
      </c>
      <c r="T104" s="5">
        <v>-193491.4</v>
      </c>
    </row>
    <row r="105">
      <c r="A105" s="1" t="s">
        <v>512</v>
      </c>
      <c r="B105" s="1" t="s">
        <v>513</v>
      </c>
      <c r="C105" s="1" t="s">
        <v>514</v>
      </c>
      <c r="D105" s="5" t="s">
        <v>245</v>
      </c>
      <c r="E105" s="1" t="s">
        <v>515</v>
      </c>
      <c r="F105" s="1" t="s">
        <v>516</v>
      </c>
      <c r="G105" s="5"/>
      <c r="H105" s="5"/>
      <c r="I105" s="5"/>
      <c r="J105" s="5"/>
      <c r="K105" s="5"/>
      <c r="L105" s="5"/>
      <c r="M105" s="5"/>
      <c r="N105" s="5"/>
      <c r="O105" s="5"/>
      <c r="P105" s="5">
        <v>987335.25</v>
      </c>
      <c r="Q105" s="5"/>
      <c r="R105" s="5"/>
      <c r="S105" s="5">
        <v>987335.25</v>
      </c>
      <c r="T105" s="5">
        <v>987335.25</v>
      </c>
    </row>
    <row r="106">
      <c r="A106" s="1" t="s">
        <v>517</v>
      </c>
      <c r="B106" s="1" t="s">
        <v>518</v>
      </c>
      <c r="C106" s="1" t="s">
        <v>519</v>
      </c>
      <c r="D106" s="5" t="s">
        <v>245</v>
      </c>
      <c r="E106" s="1" t="s">
        <v>520</v>
      </c>
      <c r="F106" s="1" t="s">
        <v>453</v>
      </c>
      <c r="G106" s="5"/>
      <c r="H106" s="5"/>
      <c r="I106" s="5"/>
      <c r="J106" s="5"/>
      <c r="K106" s="5"/>
      <c r="L106" s="5"/>
      <c r="M106" s="5"/>
      <c r="N106" s="5"/>
      <c r="O106" s="5"/>
      <c r="P106" s="5">
        <v>125000.0</v>
      </c>
      <c r="Q106" s="6">
        <v>764097.75</v>
      </c>
      <c r="R106" s="5">
        <v>230837.33000000002</v>
      </c>
      <c r="S106" s="5">
        <v>-105837.33000000002</v>
      </c>
      <c r="T106" s="5">
        <v>-639097.75</v>
      </c>
    </row>
    <row r="107">
      <c r="A107" s="1" t="s">
        <v>521</v>
      </c>
      <c r="B107" s="1" t="s">
        <v>522</v>
      </c>
      <c r="C107" s="1" t="s">
        <v>523</v>
      </c>
      <c r="D107" s="5" t="s">
        <v>245</v>
      </c>
      <c r="E107" s="1" t="s">
        <v>524</v>
      </c>
      <c r="F107" s="1" t="s">
        <v>525</v>
      </c>
      <c r="G107" s="5"/>
      <c r="H107" s="5"/>
      <c r="I107" s="5"/>
      <c r="J107" s="5"/>
      <c r="K107" s="5"/>
      <c r="L107" s="5"/>
      <c r="M107" s="5"/>
      <c r="N107" s="5"/>
      <c r="O107" s="5"/>
      <c r="P107" s="5">
        <v>179564.64</v>
      </c>
      <c r="Q107" s="5">
        <v>179564.63</v>
      </c>
      <c r="R107" s="5">
        <v>141655.05</v>
      </c>
      <c r="S107" s="5">
        <v>37909.590000000026</v>
      </c>
      <c r="T107" s="5">
        <v>0.010000000009313226</v>
      </c>
    </row>
    <row r="108">
      <c r="A108" s="1" t="s">
        <v>526</v>
      </c>
      <c r="B108" s="1" t="s">
        <v>527</v>
      </c>
      <c r="C108" s="1" t="s">
        <v>528</v>
      </c>
      <c r="D108" s="5" t="s">
        <v>245</v>
      </c>
      <c r="E108" s="1" t="s">
        <v>529</v>
      </c>
      <c r="F108" s="1" t="s">
        <v>530</v>
      </c>
      <c r="G108" s="5"/>
      <c r="H108" s="5"/>
      <c r="I108" s="5"/>
      <c r="J108" s="5"/>
      <c r="K108" s="5"/>
      <c r="L108" s="5"/>
      <c r="M108" s="5"/>
      <c r="N108" s="5"/>
      <c r="O108" s="5"/>
      <c r="P108" s="5">
        <v>359397.24</v>
      </c>
      <c r="Q108" s="5"/>
      <c r="R108" s="5"/>
      <c r="S108" s="5">
        <v>359397.24</v>
      </c>
      <c r="T108" s="5">
        <v>359397.24</v>
      </c>
    </row>
    <row r="109">
      <c r="A109" s="1" t="s">
        <v>531</v>
      </c>
      <c r="B109" s="1" t="s">
        <v>532</v>
      </c>
      <c r="C109" s="1" t="s">
        <v>533</v>
      </c>
      <c r="D109" s="5" t="s">
        <v>245</v>
      </c>
      <c r="E109" s="1" t="s">
        <v>534</v>
      </c>
      <c r="F109" s="1" t="s">
        <v>535</v>
      </c>
      <c r="G109" s="5"/>
      <c r="H109" s="5"/>
      <c r="I109" s="5"/>
      <c r="J109" s="5"/>
      <c r="K109" s="5"/>
      <c r="L109" s="5"/>
      <c r="M109" s="5"/>
      <c r="N109" s="5"/>
      <c r="O109" s="5"/>
      <c r="P109" s="5">
        <v>566182.3200000001</v>
      </c>
      <c r="Q109" s="6">
        <v>613195.49</v>
      </c>
      <c r="R109" s="6">
        <v>566182.32</v>
      </c>
      <c r="S109" s="6">
        <v>1.1641532182693481E-10</v>
      </c>
      <c r="T109" s="5">
        <v>-47013.169999999925</v>
      </c>
    </row>
    <row r="110">
      <c r="A110" s="1" t="s">
        <v>536</v>
      </c>
      <c r="B110" s="1" t="s">
        <v>537</v>
      </c>
      <c r="C110" s="1" t="s">
        <v>538</v>
      </c>
      <c r="D110" s="5" t="s">
        <v>245</v>
      </c>
      <c r="E110" s="1" t="s">
        <v>539</v>
      </c>
      <c r="F110" s="1" t="s">
        <v>540</v>
      </c>
      <c r="G110" s="5"/>
      <c r="H110" s="5"/>
      <c r="I110" s="5"/>
      <c r="J110" s="5"/>
      <c r="K110" s="5"/>
      <c r="L110" s="5"/>
      <c r="M110" s="5"/>
      <c r="N110" s="5"/>
      <c r="O110" s="5"/>
      <c r="P110" s="5">
        <v>33999.96</v>
      </c>
      <c r="Q110" s="6">
        <v>37211.07000000001</v>
      </c>
      <c r="R110" s="6">
        <v>37069.40000000001</v>
      </c>
      <c r="S110" s="5">
        <v>-3069.4400000000096</v>
      </c>
      <c r="T110" s="5">
        <v>-3211.110000000008</v>
      </c>
    </row>
    <row r="111">
      <c r="A111" s="1" t="s">
        <v>541</v>
      </c>
      <c r="B111" s="1" t="s">
        <v>542</v>
      </c>
      <c r="C111" s="5" t="s">
        <v>543</v>
      </c>
      <c r="D111" s="5" t="s">
        <v>245</v>
      </c>
      <c r="E111" s="1" t="s">
        <v>544</v>
      </c>
      <c r="F111" s="1" t="s">
        <v>545</v>
      </c>
      <c r="G111" s="5"/>
      <c r="H111" s="5"/>
      <c r="I111" s="5"/>
      <c r="J111" s="5"/>
      <c r="K111" s="5"/>
      <c r="L111" s="5"/>
      <c r="M111" s="5"/>
      <c r="N111" s="5"/>
      <c r="O111" s="5"/>
      <c r="P111" s="5">
        <v>2819487.32</v>
      </c>
      <c r="Q111" s="5">
        <v>1273680.25</v>
      </c>
      <c r="R111" s="5">
        <v>841582.0700000001</v>
      </c>
      <c r="S111" s="5">
        <v>1977905.2499999998</v>
      </c>
      <c r="T111" s="5">
        <v>1545807.0699999998</v>
      </c>
    </row>
    <row r="112">
      <c r="A112" s="1" t="s">
        <v>546</v>
      </c>
      <c r="B112" s="1" t="s">
        <v>547</v>
      </c>
      <c r="C112" s="1" t="s">
        <v>548</v>
      </c>
      <c r="D112" s="5" t="s">
        <v>245</v>
      </c>
      <c r="E112" s="1" t="s">
        <v>549</v>
      </c>
      <c r="F112" s="1" t="s">
        <v>550</v>
      </c>
      <c r="G112" s="5"/>
      <c r="H112" s="5"/>
      <c r="I112" s="5"/>
      <c r="J112" s="5"/>
      <c r="K112" s="5"/>
      <c r="L112" s="5"/>
      <c r="M112" s="5"/>
      <c r="N112" s="5"/>
      <c r="O112" s="5"/>
      <c r="P112" s="5">
        <v>1500000.0</v>
      </c>
      <c r="Q112" s="6">
        <v>717224.5899999999</v>
      </c>
      <c r="R112" s="5">
        <v>674036.0400000003</v>
      </c>
      <c r="S112" s="5">
        <v>825963.9599999997</v>
      </c>
      <c r="T112" s="5">
        <v>782775.4100000001</v>
      </c>
    </row>
    <row r="113">
      <c r="A113" s="1" t="s">
        <v>551</v>
      </c>
      <c r="B113" s="1" t="s">
        <v>552</v>
      </c>
      <c r="C113" s="1" t="s">
        <v>553</v>
      </c>
      <c r="D113" s="5" t="s">
        <v>245</v>
      </c>
      <c r="E113" s="1" t="s">
        <v>554</v>
      </c>
      <c r="F113" s="1" t="s">
        <v>555</v>
      </c>
      <c r="G113" s="6"/>
      <c r="H113" s="6"/>
      <c r="I113" s="6"/>
      <c r="J113" s="6"/>
      <c r="K113" s="6"/>
      <c r="L113" s="6"/>
      <c r="M113" s="6"/>
      <c r="N113" s="6"/>
      <c r="O113" s="6"/>
      <c r="P113" s="6">
        <v>1000000.0</v>
      </c>
      <c r="Q113" s="5">
        <v>1000000.0</v>
      </c>
      <c r="R113" s="5">
        <v>958225.52</v>
      </c>
      <c r="S113" s="6">
        <v>41774.47999999998</v>
      </c>
      <c r="T113" s="6">
        <v>0.0</v>
      </c>
    </row>
    <row r="114">
      <c r="A114" s="1" t="s">
        <v>556</v>
      </c>
      <c r="B114" s="1" t="s">
        <v>557</v>
      </c>
      <c r="C114" s="1" t="s">
        <v>558</v>
      </c>
      <c r="D114" s="5" t="s">
        <v>245</v>
      </c>
      <c r="E114" s="1" t="s">
        <v>559</v>
      </c>
      <c r="F114" s="1" t="s">
        <v>560</v>
      </c>
      <c r="G114" s="6"/>
      <c r="H114" s="6"/>
      <c r="I114" s="6"/>
      <c r="J114" s="6"/>
      <c r="K114" s="6"/>
      <c r="L114" s="6"/>
      <c r="M114" s="6"/>
      <c r="N114" s="6"/>
      <c r="O114" s="6"/>
      <c r="P114" s="6">
        <v>420000.0</v>
      </c>
      <c r="Q114" s="5"/>
      <c r="R114" s="5"/>
      <c r="S114" s="6">
        <v>420000.0</v>
      </c>
      <c r="T114" s="6">
        <v>420000.0</v>
      </c>
    </row>
    <row r="115">
      <c r="A115" s="1" t="s">
        <v>561</v>
      </c>
      <c r="B115" s="1" t="s">
        <v>562</v>
      </c>
      <c r="C115" s="1" t="s">
        <v>563</v>
      </c>
      <c r="D115" s="6" t="s">
        <v>132</v>
      </c>
      <c r="E115" s="1" t="s">
        <v>564</v>
      </c>
      <c r="F115" s="1" t="s">
        <v>565</v>
      </c>
      <c r="G115" s="6"/>
      <c r="H115" s="6"/>
      <c r="I115" s="6"/>
      <c r="J115" s="6"/>
      <c r="K115" s="6"/>
      <c r="L115" s="6"/>
      <c r="M115" s="6"/>
      <c r="N115" s="6"/>
      <c r="O115" s="6"/>
      <c r="P115" s="6">
        <v>10478.83</v>
      </c>
      <c r="Q115" s="6">
        <v>10478.83</v>
      </c>
      <c r="R115" s="6">
        <v>10478.83</v>
      </c>
      <c r="S115" s="6">
        <v>0.0</v>
      </c>
      <c r="T115" s="6">
        <v>0.0</v>
      </c>
    </row>
    <row r="116">
      <c r="A116" s="1" t="s">
        <v>566</v>
      </c>
      <c r="B116" s="1" t="s">
        <v>567</v>
      </c>
      <c r="C116" s="1" t="s">
        <v>568</v>
      </c>
      <c r="D116" s="5" t="s">
        <v>245</v>
      </c>
      <c r="E116" s="1" t="s">
        <v>569</v>
      </c>
      <c r="F116" s="1" t="s">
        <v>570</v>
      </c>
      <c r="G116" s="6"/>
      <c r="H116" s="6"/>
      <c r="I116" s="6"/>
      <c r="J116" s="6"/>
      <c r="K116" s="6"/>
      <c r="L116" s="6"/>
      <c r="M116" s="6"/>
      <c r="N116" s="6"/>
      <c r="O116" s="6"/>
      <c r="P116" s="6">
        <v>555104.64</v>
      </c>
      <c r="Q116" s="5">
        <v>784246.8700000001</v>
      </c>
      <c r="R116" s="5">
        <v>586839.46</v>
      </c>
      <c r="S116" s="6">
        <v>-31734.81999999995</v>
      </c>
      <c r="T116" s="6">
        <v>-229142.2300000001</v>
      </c>
    </row>
    <row r="117">
      <c r="A117" s="1" t="s">
        <v>571</v>
      </c>
      <c r="B117" s="1" t="s">
        <v>572</v>
      </c>
      <c r="C117" s="1" t="s">
        <v>573</v>
      </c>
      <c r="D117" s="5" t="s">
        <v>245</v>
      </c>
      <c r="E117" s="1" t="s">
        <v>574</v>
      </c>
      <c r="F117" s="1" t="s">
        <v>575</v>
      </c>
      <c r="G117" s="6"/>
      <c r="H117" s="6"/>
      <c r="I117" s="6"/>
      <c r="J117" s="6"/>
      <c r="K117" s="6"/>
      <c r="L117" s="6"/>
      <c r="M117" s="6"/>
      <c r="N117" s="6"/>
      <c r="O117" s="6"/>
      <c r="P117" s="6">
        <v>38400.0</v>
      </c>
      <c r="Q117" s="5">
        <v>38400.0</v>
      </c>
      <c r="R117" s="5">
        <v>38400.0</v>
      </c>
      <c r="S117" s="6">
        <v>0.0</v>
      </c>
      <c r="T117" s="6">
        <v>0.0</v>
      </c>
    </row>
    <row r="118">
      <c r="A118" s="1" t="s">
        <v>576</v>
      </c>
      <c r="B118" s="1" t="s">
        <v>577</v>
      </c>
      <c r="C118" s="1" t="s">
        <v>578</v>
      </c>
      <c r="D118" s="5" t="s">
        <v>245</v>
      </c>
      <c r="E118" s="1" t="s">
        <v>579</v>
      </c>
      <c r="F118" s="1" t="s">
        <v>580</v>
      </c>
      <c r="G118" s="6"/>
      <c r="H118" s="6"/>
      <c r="I118" s="6"/>
      <c r="J118" s="6"/>
      <c r="K118" s="6"/>
      <c r="L118" s="6"/>
      <c r="M118" s="6"/>
      <c r="N118" s="6"/>
      <c r="O118" s="6"/>
      <c r="P118" s="6">
        <v>235133.4</v>
      </c>
      <c r="Q118" s="5">
        <v>249009.34999999998</v>
      </c>
      <c r="R118" s="5">
        <v>246323.12999999998</v>
      </c>
      <c r="S118" s="6">
        <v>-11189.729999999981</v>
      </c>
      <c r="T118" s="6">
        <v>-13875.949999999983</v>
      </c>
    </row>
    <row r="119">
      <c r="A119" s="1" t="s">
        <v>581</v>
      </c>
      <c r="B119" s="1" t="s">
        <v>582</v>
      </c>
      <c r="C119" s="1" t="s">
        <v>583</v>
      </c>
      <c r="D119" s="5" t="s">
        <v>245</v>
      </c>
      <c r="E119" s="1" t="s">
        <v>584</v>
      </c>
      <c r="F119" s="1" t="s">
        <v>585</v>
      </c>
      <c r="G119" s="6"/>
      <c r="H119" s="6"/>
      <c r="I119" s="6"/>
      <c r="J119" s="6"/>
      <c r="K119" s="6"/>
      <c r="L119" s="6"/>
      <c r="M119" s="6"/>
      <c r="N119" s="6"/>
      <c r="O119" s="6"/>
      <c r="P119" s="6">
        <v>22925.4</v>
      </c>
      <c r="Q119" s="6">
        <v>196985.49</v>
      </c>
      <c r="R119" s="6">
        <v>23773.08</v>
      </c>
      <c r="S119" s="6">
        <v>-847.6800000000003</v>
      </c>
      <c r="T119" s="6">
        <v>-174060.09</v>
      </c>
    </row>
    <row r="120">
      <c r="A120" s="1" t="s">
        <v>586</v>
      </c>
      <c r="B120" s="1" t="s">
        <v>587</v>
      </c>
      <c r="C120" s="1" t="s">
        <v>588</v>
      </c>
      <c r="D120" s="5" t="s">
        <v>245</v>
      </c>
      <c r="E120" s="1" t="s">
        <v>589</v>
      </c>
      <c r="F120" s="1" t="s">
        <v>590</v>
      </c>
      <c r="G120" s="6"/>
      <c r="H120" s="6"/>
      <c r="I120" s="6"/>
      <c r="J120" s="6"/>
      <c r="K120" s="6"/>
      <c r="L120" s="6"/>
      <c r="M120" s="6"/>
      <c r="N120" s="6"/>
      <c r="O120" s="6"/>
      <c r="P120" s="6">
        <v>2010000.0</v>
      </c>
      <c r="Q120" s="6">
        <v>1857410.5699999998</v>
      </c>
      <c r="R120" s="9">
        <v>2224755.28</v>
      </c>
      <c r="S120" s="5">
        <v>1447094.11</v>
      </c>
      <c r="T120" s="6">
        <v>152589.43000000017</v>
      </c>
    </row>
    <row r="121">
      <c r="C121" s="10"/>
      <c r="D121" s="10"/>
    </row>
    <row r="122">
      <c r="C122" s="10"/>
      <c r="D122" s="10"/>
    </row>
    <row r="123">
      <c r="C123" s="10"/>
      <c r="D123" s="10"/>
    </row>
    <row r="124">
      <c r="C124" s="10"/>
      <c r="D124" s="10"/>
    </row>
    <row r="125">
      <c r="C125" s="10"/>
      <c r="D125" s="10"/>
    </row>
    <row r="126">
      <c r="C126" s="10"/>
      <c r="D126" s="10"/>
    </row>
    <row r="127">
      <c r="C127" s="10"/>
      <c r="D127" s="10"/>
    </row>
    <row r="128">
      <c r="C128" s="10"/>
      <c r="D128" s="10"/>
    </row>
    <row r="129">
      <c r="C129" s="10"/>
      <c r="D129" s="10"/>
    </row>
    <row r="130">
      <c r="C130" s="10"/>
      <c r="D130" s="10"/>
    </row>
    <row r="131">
      <c r="C131" s="10"/>
      <c r="D131" s="10"/>
    </row>
    <row r="132">
      <c r="C132" s="10"/>
      <c r="D132" s="10"/>
    </row>
    <row r="133">
      <c r="C133" s="10"/>
      <c r="D133" s="10"/>
    </row>
    <row r="134">
      <c r="C134" s="10"/>
      <c r="D134" s="10"/>
    </row>
    <row r="135">
      <c r="C135" s="10"/>
      <c r="D135" s="10"/>
    </row>
    <row r="136">
      <c r="C136" s="10"/>
      <c r="D136" s="10"/>
    </row>
    <row r="137">
      <c r="C137" s="10"/>
      <c r="D137" s="10"/>
    </row>
    <row r="138">
      <c r="C138" s="10"/>
      <c r="D138" s="10"/>
    </row>
    <row r="139">
      <c r="C139" s="10"/>
      <c r="D139" s="10"/>
    </row>
    <row r="140">
      <c r="C140" s="10"/>
      <c r="D140" s="10"/>
    </row>
    <row r="141">
      <c r="C141" s="10"/>
      <c r="D141" s="10"/>
    </row>
    <row r="142">
      <c r="C142" s="10"/>
      <c r="D142" s="10"/>
    </row>
    <row r="143">
      <c r="C143" s="10"/>
      <c r="D143" s="10"/>
    </row>
    <row r="144">
      <c r="C144" s="10"/>
      <c r="D144" s="10"/>
    </row>
    <row r="145">
      <c r="C145" s="10"/>
      <c r="D145" s="10"/>
    </row>
    <row r="146">
      <c r="C146" s="10"/>
      <c r="D146" s="10"/>
    </row>
    <row r="147">
      <c r="C147" s="10"/>
      <c r="D147" s="10"/>
    </row>
    <row r="148">
      <c r="C148" s="10"/>
      <c r="D148" s="10"/>
    </row>
    <row r="149">
      <c r="C149" s="10"/>
      <c r="D149" s="10"/>
    </row>
    <row r="150">
      <c r="C150" s="10"/>
      <c r="D150" s="10"/>
    </row>
    <row r="151">
      <c r="C151" s="10"/>
      <c r="D151" s="10"/>
    </row>
    <row r="152">
      <c r="C152" s="10"/>
      <c r="D152" s="10"/>
    </row>
    <row r="153">
      <c r="C153" s="10"/>
      <c r="D153" s="10"/>
    </row>
    <row r="154">
      <c r="C154" s="10"/>
      <c r="D154" s="10"/>
    </row>
    <row r="155">
      <c r="C155" s="10"/>
      <c r="D155" s="10"/>
    </row>
    <row r="156">
      <c r="C156" s="10"/>
      <c r="D156" s="10"/>
    </row>
    <row r="157">
      <c r="C157" s="10"/>
      <c r="D157" s="10"/>
    </row>
    <row r="158">
      <c r="C158" s="10"/>
      <c r="D158" s="10"/>
    </row>
    <row r="159">
      <c r="C159" s="10"/>
      <c r="D159" s="10"/>
    </row>
    <row r="160">
      <c r="C160" s="10"/>
      <c r="D160" s="10"/>
    </row>
    <row r="161">
      <c r="C161" s="10"/>
      <c r="D161" s="10"/>
    </row>
    <row r="162">
      <c r="C162" s="10"/>
      <c r="D162" s="10"/>
    </row>
    <row r="163">
      <c r="C163" s="10"/>
      <c r="D163" s="10"/>
    </row>
    <row r="164">
      <c r="C164" s="10"/>
      <c r="D164" s="10"/>
    </row>
    <row r="165">
      <c r="C165" s="10"/>
      <c r="D165" s="10"/>
    </row>
    <row r="166">
      <c r="C166" s="10"/>
      <c r="D166" s="10"/>
    </row>
    <row r="167">
      <c r="C167" s="10"/>
      <c r="D167" s="10"/>
    </row>
    <row r="168">
      <c r="C168" s="10"/>
      <c r="D168" s="10"/>
    </row>
    <row r="169">
      <c r="C169" s="10"/>
      <c r="D169" s="10"/>
    </row>
    <row r="170">
      <c r="C170" s="10"/>
      <c r="D170" s="10"/>
    </row>
    <row r="171">
      <c r="C171" s="10"/>
      <c r="D171" s="10"/>
    </row>
    <row r="172">
      <c r="C172" s="10"/>
      <c r="D172" s="10"/>
    </row>
    <row r="173">
      <c r="C173" s="10"/>
      <c r="D173" s="10"/>
    </row>
    <row r="174">
      <c r="C174" s="10"/>
      <c r="D174" s="10"/>
    </row>
    <row r="175">
      <c r="C175" s="10"/>
      <c r="D175" s="10"/>
    </row>
    <row r="176">
      <c r="C176" s="10"/>
      <c r="D176" s="10"/>
    </row>
    <row r="177">
      <c r="C177" s="10"/>
      <c r="D177" s="10"/>
    </row>
    <row r="178">
      <c r="C178" s="10"/>
      <c r="D178" s="10"/>
    </row>
    <row r="179">
      <c r="C179" s="10"/>
      <c r="D179" s="10"/>
    </row>
    <row r="180">
      <c r="C180" s="10"/>
      <c r="D180" s="10"/>
    </row>
    <row r="181">
      <c r="C181" s="10"/>
      <c r="D181" s="10"/>
    </row>
    <row r="182">
      <c r="C182" s="10"/>
      <c r="D182" s="10"/>
    </row>
    <row r="183">
      <c r="C183" s="10"/>
      <c r="D183" s="10"/>
    </row>
    <row r="184">
      <c r="C184" s="10"/>
      <c r="D184" s="10"/>
    </row>
    <row r="185">
      <c r="C185" s="10"/>
      <c r="D185" s="10"/>
    </row>
    <row r="186">
      <c r="C186" s="10"/>
      <c r="D186" s="10"/>
    </row>
    <row r="187">
      <c r="C187" s="10"/>
      <c r="D187" s="10"/>
    </row>
    <row r="188">
      <c r="C188" s="10"/>
      <c r="D188" s="10"/>
    </row>
    <row r="189">
      <c r="C189" s="10"/>
      <c r="D189" s="10"/>
    </row>
    <row r="190">
      <c r="C190" s="10"/>
      <c r="D190" s="10"/>
    </row>
    <row r="191">
      <c r="C191" s="10"/>
      <c r="D191" s="10"/>
    </row>
    <row r="192">
      <c r="C192" s="10"/>
      <c r="D192" s="10"/>
    </row>
    <row r="193">
      <c r="C193" s="10"/>
      <c r="D193" s="10"/>
    </row>
    <row r="194">
      <c r="C194" s="10"/>
      <c r="D194" s="10"/>
    </row>
    <row r="195">
      <c r="C195" s="10"/>
      <c r="D195" s="10"/>
    </row>
    <row r="196">
      <c r="C196" s="10"/>
      <c r="D196" s="10"/>
    </row>
    <row r="197">
      <c r="C197" s="10"/>
      <c r="D197" s="10"/>
    </row>
    <row r="198">
      <c r="C198" s="10"/>
      <c r="D198" s="10"/>
    </row>
    <row r="199">
      <c r="C199" s="10"/>
      <c r="D199" s="10"/>
    </row>
    <row r="200">
      <c r="C200" s="10"/>
      <c r="D200" s="10"/>
    </row>
    <row r="201">
      <c r="C201" s="10"/>
      <c r="D201" s="10"/>
    </row>
    <row r="202">
      <c r="C202" s="10"/>
      <c r="D202" s="10"/>
    </row>
    <row r="203">
      <c r="C203" s="10"/>
      <c r="D203" s="10"/>
    </row>
    <row r="204">
      <c r="C204" s="10"/>
      <c r="D204" s="10"/>
    </row>
    <row r="205">
      <c r="C205" s="10"/>
      <c r="D205" s="10"/>
    </row>
    <row r="206">
      <c r="C206" s="10"/>
      <c r="D206" s="10"/>
    </row>
    <row r="207">
      <c r="C207" s="10"/>
      <c r="D207" s="10"/>
    </row>
    <row r="208">
      <c r="C208" s="10"/>
      <c r="D208" s="10"/>
    </row>
    <row r="209">
      <c r="C209" s="10"/>
      <c r="D209" s="10"/>
    </row>
    <row r="210">
      <c r="C210" s="10"/>
      <c r="D210" s="10"/>
    </row>
    <row r="211">
      <c r="C211" s="10"/>
      <c r="D211" s="10"/>
    </row>
    <row r="212">
      <c r="C212" s="10"/>
      <c r="D212" s="10"/>
    </row>
    <row r="213">
      <c r="C213" s="10"/>
      <c r="D213" s="10"/>
    </row>
    <row r="214">
      <c r="C214" s="10"/>
      <c r="D214" s="10"/>
    </row>
    <row r="215">
      <c r="C215" s="10"/>
      <c r="D215" s="10"/>
    </row>
    <row r="216">
      <c r="C216" s="10"/>
      <c r="D216" s="10"/>
    </row>
    <row r="217">
      <c r="C217" s="10"/>
      <c r="D217" s="10"/>
    </row>
    <row r="218">
      <c r="C218" s="10"/>
      <c r="D218" s="10"/>
    </row>
    <row r="219">
      <c r="C219" s="10"/>
      <c r="D219" s="10"/>
    </row>
    <row r="220">
      <c r="C220" s="10"/>
      <c r="D220" s="10"/>
    </row>
    <row r="221">
      <c r="C221" s="10"/>
      <c r="D221" s="10"/>
    </row>
    <row r="222">
      <c r="C222" s="10"/>
      <c r="D222" s="10"/>
    </row>
    <row r="223">
      <c r="C223" s="10"/>
      <c r="D223" s="10"/>
    </row>
    <row r="224">
      <c r="C224" s="10"/>
      <c r="D224" s="10"/>
    </row>
    <row r="225">
      <c r="C225" s="10"/>
      <c r="D225" s="10"/>
    </row>
    <row r="226">
      <c r="C226" s="10"/>
      <c r="D226" s="10"/>
    </row>
    <row r="227">
      <c r="C227" s="10"/>
      <c r="D227" s="10"/>
    </row>
    <row r="228">
      <c r="C228" s="10"/>
      <c r="D228" s="10"/>
    </row>
    <row r="229">
      <c r="C229" s="10"/>
      <c r="D229" s="10"/>
    </row>
    <row r="230">
      <c r="C230" s="10"/>
      <c r="D230" s="10"/>
    </row>
    <row r="231">
      <c r="C231" s="10"/>
      <c r="D231" s="10"/>
    </row>
    <row r="232">
      <c r="C232" s="10"/>
      <c r="D232" s="10"/>
    </row>
    <row r="233">
      <c r="C233" s="10"/>
      <c r="D233" s="10"/>
    </row>
    <row r="234">
      <c r="C234" s="10"/>
      <c r="D234" s="10"/>
    </row>
    <row r="235">
      <c r="C235" s="10"/>
      <c r="D235" s="10"/>
    </row>
    <row r="236">
      <c r="C236" s="10"/>
      <c r="D236" s="10"/>
    </row>
    <row r="237">
      <c r="C237" s="10"/>
      <c r="D237" s="10"/>
    </row>
    <row r="238">
      <c r="C238" s="10"/>
      <c r="D238" s="10"/>
    </row>
    <row r="239">
      <c r="C239" s="10"/>
      <c r="D239" s="10"/>
    </row>
    <row r="240">
      <c r="C240" s="10"/>
      <c r="D240" s="10"/>
    </row>
    <row r="241">
      <c r="C241" s="10"/>
      <c r="D241" s="10"/>
    </row>
    <row r="242">
      <c r="C242" s="10"/>
      <c r="D242" s="10"/>
    </row>
    <row r="243">
      <c r="C243" s="10"/>
      <c r="D243" s="10"/>
    </row>
    <row r="244">
      <c r="C244" s="10"/>
      <c r="D244" s="10"/>
    </row>
    <row r="245">
      <c r="C245" s="10"/>
      <c r="D245" s="10"/>
    </row>
    <row r="246">
      <c r="C246" s="10"/>
      <c r="D246" s="10"/>
    </row>
    <row r="247">
      <c r="C247" s="10"/>
      <c r="D247" s="10"/>
    </row>
    <row r="248">
      <c r="C248" s="10"/>
      <c r="D248" s="10"/>
    </row>
    <row r="249">
      <c r="C249" s="10"/>
      <c r="D249" s="10"/>
    </row>
    <row r="250">
      <c r="C250" s="10"/>
      <c r="D250" s="10"/>
    </row>
    <row r="251">
      <c r="C251" s="10"/>
      <c r="D251" s="10"/>
    </row>
    <row r="252">
      <c r="C252" s="10"/>
      <c r="D252" s="10"/>
    </row>
    <row r="253">
      <c r="C253" s="10"/>
      <c r="D253" s="10"/>
    </row>
    <row r="254">
      <c r="C254" s="10"/>
      <c r="D254" s="10"/>
    </row>
    <row r="255">
      <c r="C255" s="10"/>
      <c r="D255" s="10"/>
    </row>
    <row r="256">
      <c r="C256" s="10"/>
      <c r="D256" s="10"/>
    </row>
    <row r="257">
      <c r="C257" s="10"/>
      <c r="D257" s="10"/>
    </row>
    <row r="258">
      <c r="C258" s="10"/>
      <c r="D258" s="10"/>
    </row>
    <row r="259">
      <c r="C259" s="10"/>
      <c r="D259" s="10"/>
    </row>
    <row r="260">
      <c r="C260" s="10"/>
      <c r="D260" s="10"/>
    </row>
    <row r="261">
      <c r="C261" s="10"/>
      <c r="D261" s="10"/>
    </row>
    <row r="262">
      <c r="C262" s="10"/>
      <c r="D262" s="10"/>
    </row>
    <row r="263">
      <c r="C263" s="10"/>
      <c r="D263" s="10"/>
    </row>
    <row r="264">
      <c r="C264" s="10"/>
      <c r="D264" s="10"/>
    </row>
    <row r="265">
      <c r="C265" s="10"/>
      <c r="D265" s="10"/>
    </row>
    <row r="266">
      <c r="C266" s="10"/>
      <c r="D266" s="10"/>
    </row>
    <row r="267">
      <c r="C267" s="10"/>
      <c r="D267" s="10"/>
    </row>
    <row r="268">
      <c r="C268" s="10"/>
      <c r="D268" s="10"/>
    </row>
    <row r="269">
      <c r="C269" s="10"/>
      <c r="D269" s="10"/>
    </row>
    <row r="270">
      <c r="C270" s="10"/>
      <c r="D270" s="10"/>
    </row>
    <row r="271">
      <c r="C271" s="10"/>
      <c r="D271" s="10"/>
    </row>
    <row r="272">
      <c r="C272" s="10"/>
      <c r="D272" s="10"/>
    </row>
    <row r="273">
      <c r="C273" s="10"/>
      <c r="D273" s="10"/>
    </row>
    <row r="274">
      <c r="C274" s="10"/>
      <c r="D274" s="10"/>
    </row>
    <row r="275">
      <c r="C275" s="10"/>
      <c r="D275" s="10"/>
    </row>
    <row r="276">
      <c r="C276" s="10"/>
      <c r="D276" s="10"/>
    </row>
    <row r="277">
      <c r="C277" s="10"/>
      <c r="D277" s="10"/>
    </row>
    <row r="278">
      <c r="C278" s="10"/>
      <c r="D278" s="10"/>
    </row>
    <row r="279">
      <c r="C279" s="10"/>
      <c r="D279" s="10"/>
    </row>
    <row r="280">
      <c r="C280" s="10"/>
      <c r="D280" s="10"/>
    </row>
    <row r="281">
      <c r="C281" s="10"/>
      <c r="D281" s="10"/>
    </row>
    <row r="282">
      <c r="C282" s="10"/>
      <c r="D282" s="10"/>
    </row>
    <row r="283">
      <c r="C283" s="10"/>
      <c r="D283" s="10"/>
    </row>
    <row r="284">
      <c r="C284" s="10"/>
      <c r="D284" s="10"/>
    </row>
    <row r="285">
      <c r="C285" s="10"/>
      <c r="D285" s="10"/>
    </row>
    <row r="286">
      <c r="C286" s="10"/>
      <c r="D286" s="10"/>
    </row>
    <row r="287">
      <c r="C287" s="10"/>
      <c r="D287" s="10"/>
    </row>
    <row r="288">
      <c r="C288" s="10"/>
      <c r="D288" s="10"/>
    </row>
    <row r="289">
      <c r="C289" s="10"/>
      <c r="D289" s="10"/>
    </row>
    <row r="290">
      <c r="C290" s="10"/>
      <c r="D290" s="10"/>
    </row>
    <row r="291">
      <c r="C291" s="10"/>
      <c r="D291" s="10"/>
    </row>
    <row r="292">
      <c r="C292" s="10"/>
      <c r="D292" s="10"/>
    </row>
    <row r="293">
      <c r="C293" s="10"/>
      <c r="D293" s="10"/>
    </row>
    <row r="294">
      <c r="C294" s="10"/>
      <c r="D294" s="10"/>
    </row>
    <row r="295">
      <c r="C295" s="10"/>
      <c r="D295" s="10"/>
    </row>
    <row r="296">
      <c r="C296" s="10"/>
      <c r="D296" s="10"/>
    </row>
    <row r="297">
      <c r="C297" s="10"/>
      <c r="D297" s="10"/>
    </row>
    <row r="298">
      <c r="C298" s="10"/>
      <c r="D298" s="10"/>
    </row>
    <row r="299">
      <c r="C299" s="10"/>
      <c r="D299" s="10"/>
    </row>
    <row r="300">
      <c r="C300" s="10"/>
      <c r="D300" s="10"/>
    </row>
    <row r="301">
      <c r="C301" s="10"/>
      <c r="D301" s="10"/>
    </row>
    <row r="302">
      <c r="C302" s="10"/>
      <c r="D302" s="10"/>
    </row>
    <row r="303">
      <c r="C303" s="10"/>
      <c r="D303" s="10"/>
    </row>
    <row r="304">
      <c r="C304" s="10"/>
      <c r="D304" s="10"/>
    </row>
    <row r="305">
      <c r="C305" s="10"/>
      <c r="D305" s="10"/>
    </row>
    <row r="306">
      <c r="C306" s="10"/>
      <c r="D306" s="10"/>
    </row>
    <row r="307">
      <c r="C307" s="10"/>
      <c r="D307" s="10"/>
    </row>
    <row r="308">
      <c r="C308" s="10"/>
      <c r="D308" s="10"/>
    </row>
    <row r="309">
      <c r="C309" s="10"/>
      <c r="D309" s="10"/>
    </row>
    <row r="310">
      <c r="C310" s="10"/>
      <c r="D310" s="10"/>
    </row>
    <row r="311">
      <c r="C311" s="10"/>
      <c r="D311" s="10"/>
    </row>
    <row r="312">
      <c r="C312" s="10"/>
      <c r="D312" s="10"/>
    </row>
    <row r="313">
      <c r="C313" s="10"/>
      <c r="D313" s="10"/>
    </row>
    <row r="314">
      <c r="C314" s="10"/>
      <c r="D314" s="10"/>
    </row>
    <row r="315">
      <c r="C315" s="10"/>
      <c r="D315" s="10"/>
    </row>
    <row r="316">
      <c r="C316" s="10"/>
      <c r="D316" s="10"/>
    </row>
    <row r="317">
      <c r="C317" s="10"/>
      <c r="D317" s="10"/>
    </row>
    <row r="318">
      <c r="C318" s="10"/>
      <c r="D318" s="10"/>
    </row>
    <row r="319">
      <c r="C319" s="10"/>
      <c r="D319" s="10"/>
    </row>
    <row r="320">
      <c r="C320" s="10"/>
      <c r="D320" s="10"/>
    </row>
    <row r="321">
      <c r="C321" s="10"/>
      <c r="D321" s="10"/>
    </row>
    <row r="322">
      <c r="C322" s="10"/>
      <c r="D322" s="10"/>
    </row>
    <row r="323">
      <c r="C323" s="10"/>
      <c r="D323" s="10"/>
    </row>
    <row r="324">
      <c r="C324" s="10"/>
      <c r="D324" s="10"/>
    </row>
    <row r="325">
      <c r="C325" s="10"/>
      <c r="D325" s="10"/>
    </row>
    <row r="326">
      <c r="C326" s="10"/>
      <c r="D326" s="10"/>
    </row>
    <row r="327">
      <c r="C327" s="10"/>
      <c r="D327" s="10"/>
    </row>
    <row r="328">
      <c r="C328" s="10"/>
      <c r="D328" s="10"/>
    </row>
    <row r="329">
      <c r="C329" s="10"/>
      <c r="D329" s="10"/>
    </row>
    <row r="330">
      <c r="C330" s="10"/>
      <c r="D330" s="10"/>
    </row>
    <row r="331">
      <c r="C331" s="10"/>
      <c r="D331" s="10"/>
    </row>
    <row r="332">
      <c r="C332" s="10"/>
      <c r="D332" s="10"/>
    </row>
    <row r="333">
      <c r="C333" s="10"/>
      <c r="D333" s="10"/>
    </row>
    <row r="334">
      <c r="C334" s="10"/>
      <c r="D334" s="10"/>
    </row>
    <row r="335">
      <c r="C335" s="10"/>
      <c r="D335" s="10"/>
    </row>
    <row r="336">
      <c r="C336" s="10"/>
      <c r="D336" s="10"/>
    </row>
    <row r="337">
      <c r="C337" s="10"/>
      <c r="D337" s="10"/>
    </row>
    <row r="338">
      <c r="C338" s="10"/>
      <c r="D338" s="10"/>
    </row>
    <row r="339">
      <c r="C339" s="10"/>
      <c r="D339" s="10"/>
    </row>
    <row r="340">
      <c r="C340" s="10"/>
      <c r="D340" s="10"/>
    </row>
    <row r="341">
      <c r="C341" s="10"/>
      <c r="D341" s="10"/>
    </row>
    <row r="342">
      <c r="C342" s="10"/>
      <c r="D342" s="10"/>
    </row>
    <row r="343">
      <c r="C343" s="10"/>
      <c r="D343" s="10"/>
    </row>
    <row r="344">
      <c r="C344" s="10"/>
      <c r="D344" s="10"/>
    </row>
    <row r="345">
      <c r="C345" s="10"/>
      <c r="D345" s="10"/>
    </row>
    <row r="346">
      <c r="C346" s="10"/>
      <c r="D346" s="10"/>
    </row>
    <row r="347">
      <c r="C347" s="10"/>
      <c r="D347" s="10"/>
    </row>
    <row r="348">
      <c r="C348" s="10"/>
      <c r="D348" s="10"/>
    </row>
    <row r="349">
      <c r="C349" s="10"/>
      <c r="D349" s="10"/>
    </row>
    <row r="350">
      <c r="C350" s="10"/>
      <c r="D350" s="10"/>
    </row>
    <row r="351">
      <c r="C351" s="10"/>
      <c r="D351" s="10"/>
    </row>
    <row r="352">
      <c r="C352" s="10"/>
      <c r="D352" s="10"/>
    </row>
    <row r="353">
      <c r="C353" s="10"/>
      <c r="D353" s="10"/>
    </row>
    <row r="354">
      <c r="C354" s="10"/>
      <c r="D354" s="10"/>
    </row>
    <row r="355">
      <c r="C355" s="10"/>
      <c r="D355" s="10"/>
    </row>
    <row r="356">
      <c r="C356" s="10"/>
      <c r="D356" s="10"/>
    </row>
    <row r="357">
      <c r="C357" s="10"/>
      <c r="D357" s="10"/>
    </row>
    <row r="358">
      <c r="C358" s="10"/>
      <c r="D358" s="10"/>
    </row>
    <row r="359">
      <c r="C359" s="10"/>
      <c r="D359" s="10"/>
    </row>
    <row r="360">
      <c r="C360" s="10"/>
      <c r="D360" s="10"/>
    </row>
    <row r="361">
      <c r="C361" s="10"/>
      <c r="D361" s="10"/>
    </row>
    <row r="362">
      <c r="C362" s="10"/>
      <c r="D362" s="10"/>
    </row>
    <row r="363">
      <c r="C363" s="10"/>
      <c r="D363" s="10"/>
    </row>
    <row r="364">
      <c r="C364" s="10"/>
      <c r="D364" s="10"/>
    </row>
    <row r="365">
      <c r="C365" s="10"/>
      <c r="D365" s="10"/>
    </row>
    <row r="366">
      <c r="C366" s="10"/>
      <c r="D366" s="10"/>
    </row>
    <row r="367">
      <c r="C367" s="10"/>
      <c r="D367" s="10"/>
    </row>
    <row r="368">
      <c r="C368" s="10"/>
      <c r="D368" s="10"/>
    </row>
    <row r="369">
      <c r="C369" s="10"/>
      <c r="D369" s="10"/>
    </row>
    <row r="370">
      <c r="C370" s="10"/>
      <c r="D370" s="10"/>
    </row>
    <row r="371">
      <c r="C371" s="10"/>
      <c r="D371" s="10"/>
    </row>
    <row r="372">
      <c r="C372" s="10"/>
      <c r="D372" s="10"/>
    </row>
    <row r="373">
      <c r="C373" s="10"/>
      <c r="D373" s="10"/>
    </row>
    <row r="374">
      <c r="C374" s="10"/>
      <c r="D374" s="10"/>
    </row>
    <row r="375">
      <c r="C375" s="10"/>
      <c r="D375" s="10"/>
    </row>
    <row r="376">
      <c r="C376" s="10"/>
      <c r="D376" s="10"/>
    </row>
    <row r="377">
      <c r="C377" s="10"/>
      <c r="D377" s="10"/>
    </row>
    <row r="378">
      <c r="C378" s="10"/>
      <c r="D378" s="10"/>
    </row>
    <row r="379">
      <c r="C379" s="10"/>
      <c r="D379" s="10"/>
    </row>
    <row r="380">
      <c r="C380" s="10"/>
      <c r="D380" s="10"/>
    </row>
    <row r="381">
      <c r="C381" s="10"/>
      <c r="D381" s="10"/>
    </row>
    <row r="382">
      <c r="C382" s="10"/>
      <c r="D382" s="10"/>
    </row>
    <row r="383">
      <c r="C383" s="10"/>
      <c r="D383" s="10"/>
    </row>
    <row r="384">
      <c r="C384" s="10"/>
      <c r="D384" s="10"/>
    </row>
    <row r="385">
      <c r="C385" s="10"/>
      <c r="D385" s="10"/>
    </row>
    <row r="386">
      <c r="C386" s="10"/>
      <c r="D386" s="10"/>
    </row>
    <row r="387">
      <c r="C387" s="10"/>
      <c r="D387" s="10"/>
    </row>
    <row r="388">
      <c r="C388" s="10"/>
      <c r="D388" s="10"/>
    </row>
    <row r="389">
      <c r="C389" s="10"/>
      <c r="D389" s="10"/>
    </row>
    <row r="390">
      <c r="C390" s="10"/>
      <c r="D390" s="10"/>
    </row>
    <row r="391">
      <c r="C391" s="10"/>
      <c r="D391" s="10"/>
    </row>
    <row r="392">
      <c r="C392" s="10"/>
      <c r="D392" s="10"/>
    </row>
    <row r="393">
      <c r="C393" s="10"/>
      <c r="D393" s="10"/>
    </row>
    <row r="394">
      <c r="C394" s="10"/>
      <c r="D394" s="10"/>
    </row>
    <row r="395">
      <c r="C395" s="10"/>
      <c r="D395" s="10"/>
    </row>
    <row r="396">
      <c r="C396" s="10"/>
      <c r="D396" s="10"/>
    </row>
    <row r="397">
      <c r="C397" s="10"/>
      <c r="D397" s="10"/>
    </row>
    <row r="398">
      <c r="C398" s="10"/>
      <c r="D398" s="10"/>
    </row>
    <row r="399">
      <c r="C399" s="10"/>
      <c r="D399" s="10"/>
    </row>
    <row r="400">
      <c r="C400" s="10"/>
      <c r="D400" s="10"/>
    </row>
    <row r="401">
      <c r="C401" s="10"/>
      <c r="D401" s="10"/>
    </row>
    <row r="402">
      <c r="C402" s="10"/>
      <c r="D402" s="10"/>
    </row>
    <row r="403">
      <c r="C403" s="10"/>
      <c r="D403" s="10"/>
    </row>
    <row r="404">
      <c r="C404" s="10"/>
      <c r="D404" s="10"/>
    </row>
    <row r="405">
      <c r="C405" s="10"/>
      <c r="D405" s="10"/>
    </row>
    <row r="406">
      <c r="C406" s="10"/>
      <c r="D406" s="10"/>
    </row>
    <row r="407">
      <c r="C407" s="10"/>
      <c r="D407" s="10"/>
    </row>
    <row r="408">
      <c r="C408" s="10"/>
      <c r="D408" s="10"/>
    </row>
    <row r="409">
      <c r="C409" s="10"/>
      <c r="D409" s="10"/>
    </row>
    <row r="410">
      <c r="C410" s="10"/>
      <c r="D410" s="10"/>
    </row>
    <row r="411">
      <c r="C411" s="10"/>
      <c r="D411" s="10"/>
    </row>
    <row r="412">
      <c r="C412" s="10"/>
      <c r="D412" s="10"/>
    </row>
    <row r="413">
      <c r="C413" s="10"/>
      <c r="D413" s="10"/>
    </row>
    <row r="414">
      <c r="C414" s="10"/>
      <c r="D414" s="10"/>
    </row>
    <row r="415">
      <c r="C415" s="10"/>
      <c r="D415" s="10"/>
    </row>
    <row r="416">
      <c r="C416" s="10"/>
      <c r="D416" s="10"/>
    </row>
    <row r="417">
      <c r="C417" s="10"/>
      <c r="D417" s="10"/>
    </row>
    <row r="418">
      <c r="C418" s="10"/>
      <c r="D418" s="10"/>
    </row>
    <row r="419">
      <c r="C419" s="10"/>
      <c r="D419" s="10"/>
    </row>
    <row r="420">
      <c r="C420" s="10"/>
      <c r="D420" s="10"/>
    </row>
    <row r="421">
      <c r="C421" s="10"/>
      <c r="D421" s="10"/>
    </row>
    <row r="422">
      <c r="C422" s="10"/>
      <c r="D422" s="10"/>
    </row>
    <row r="423">
      <c r="C423" s="10"/>
      <c r="D423" s="10"/>
    </row>
    <row r="424">
      <c r="C424" s="10"/>
      <c r="D424" s="10"/>
    </row>
    <row r="425">
      <c r="C425" s="10"/>
      <c r="D425" s="10"/>
    </row>
    <row r="426">
      <c r="C426" s="10"/>
      <c r="D426" s="10"/>
    </row>
    <row r="427">
      <c r="C427" s="10"/>
      <c r="D427" s="10"/>
    </row>
    <row r="428">
      <c r="C428" s="10"/>
      <c r="D428" s="10"/>
    </row>
    <row r="429">
      <c r="C429" s="10"/>
      <c r="D429" s="10"/>
    </row>
    <row r="430">
      <c r="C430" s="10"/>
      <c r="D430" s="10"/>
    </row>
    <row r="431">
      <c r="C431" s="10"/>
      <c r="D431" s="10"/>
    </row>
    <row r="432">
      <c r="C432" s="10"/>
      <c r="D432" s="10"/>
    </row>
    <row r="433">
      <c r="C433" s="10"/>
      <c r="D433" s="10"/>
    </row>
    <row r="434">
      <c r="C434" s="10"/>
      <c r="D434" s="10"/>
    </row>
    <row r="435">
      <c r="C435" s="10"/>
      <c r="D435" s="10"/>
    </row>
    <row r="436">
      <c r="C436" s="10"/>
      <c r="D436" s="10"/>
    </row>
    <row r="437">
      <c r="C437" s="10"/>
      <c r="D437" s="10"/>
    </row>
    <row r="438">
      <c r="C438" s="10"/>
      <c r="D438" s="10"/>
    </row>
    <row r="439">
      <c r="C439" s="10"/>
      <c r="D439" s="10"/>
    </row>
    <row r="440">
      <c r="C440" s="10"/>
      <c r="D440" s="10"/>
    </row>
    <row r="441">
      <c r="C441" s="10"/>
      <c r="D441" s="10"/>
    </row>
    <row r="442">
      <c r="C442" s="10"/>
      <c r="D442" s="10"/>
    </row>
    <row r="443">
      <c r="C443" s="10"/>
      <c r="D443" s="10"/>
    </row>
    <row r="444">
      <c r="C444" s="10"/>
      <c r="D444" s="10"/>
    </row>
    <row r="445">
      <c r="C445" s="10"/>
      <c r="D445" s="10"/>
    </row>
    <row r="446">
      <c r="C446" s="10"/>
      <c r="D446" s="10"/>
    </row>
    <row r="447">
      <c r="C447" s="10"/>
      <c r="D447" s="10"/>
    </row>
    <row r="448">
      <c r="C448" s="10"/>
      <c r="D448" s="10"/>
    </row>
    <row r="449">
      <c r="C449" s="10"/>
      <c r="D449" s="10"/>
    </row>
    <row r="450">
      <c r="C450" s="10"/>
      <c r="D450" s="10"/>
    </row>
    <row r="451">
      <c r="C451" s="10"/>
      <c r="D451" s="10"/>
    </row>
    <row r="452">
      <c r="C452" s="10"/>
      <c r="D452" s="10"/>
    </row>
    <row r="453">
      <c r="C453" s="10"/>
      <c r="D453" s="10"/>
    </row>
    <row r="454">
      <c r="C454" s="10"/>
      <c r="D454" s="10"/>
    </row>
    <row r="455">
      <c r="C455" s="10"/>
      <c r="D455" s="10"/>
    </row>
    <row r="456">
      <c r="C456" s="10"/>
      <c r="D456" s="10"/>
    </row>
    <row r="457">
      <c r="C457" s="10"/>
      <c r="D457" s="10"/>
    </row>
    <row r="458">
      <c r="C458" s="10"/>
      <c r="D458" s="10"/>
    </row>
    <row r="459">
      <c r="C459" s="10"/>
      <c r="D459" s="10"/>
    </row>
    <row r="460">
      <c r="C460" s="10"/>
      <c r="D460" s="10"/>
    </row>
    <row r="461">
      <c r="C461" s="10"/>
      <c r="D461" s="10"/>
    </row>
    <row r="462">
      <c r="C462" s="10"/>
      <c r="D462" s="10"/>
    </row>
    <row r="463">
      <c r="C463" s="10"/>
      <c r="D463" s="10"/>
    </row>
    <row r="464">
      <c r="C464" s="10"/>
      <c r="D464" s="10"/>
    </row>
    <row r="465">
      <c r="C465" s="10"/>
      <c r="D465" s="10"/>
    </row>
    <row r="466">
      <c r="C466" s="10"/>
      <c r="D466" s="10"/>
    </row>
    <row r="467">
      <c r="C467" s="10"/>
      <c r="D467" s="10"/>
    </row>
    <row r="468">
      <c r="C468" s="10"/>
      <c r="D468" s="10"/>
    </row>
    <row r="469">
      <c r="C469" s="10"/>
      <c r="D469" s="10"/>
    </row>
    <row r="470">
      <c r="C470" s="10"/>
      <c r="D470" s="10"/>
    </row>
    <row r="471">
      <c r="C471" s="10"/>
      <c r="D471" s="10"/>
    </row>
    <row r="472">
      <c r="C472" s="10"/>
      <c r="D472" s="10"/>
    </row>
    <row r="473">
      <c r="C473" s="10"/>
      <c r="D473" s="10"/>
    </row>
    <row r="474">
      <c r="C474" s="10"/>
      <c r="D474" s="10"/>
    </row>
    <row r="475">
      <c r="C475" s="10"/>
      <c r="D475" s="10"/>
    </row>
    <row r="476">
      <c r="C476" s="10"/>
      <c r="D476" s="10"/>
    </row>
    <row r="477">
      <c r="C477" s="10"/>
      <c r="D477" s="10"/>
    </row>
    <row r="478">
      <c r="C478" s="10"/>
      <c r="D478" s="10"/>
    </row>
    <row r="479">
      <c r="C479" s="10"/>
      <c r="D479" s="10"/>
    </row>
    <row r="480">
      <c r="C480" s="10"/>
      <c r="D480" s="10"/>
    </row>
    <row r="481">
      <c r="C481" s="10"/>
      <c r="D481" s="10"/>
    </row>
    <row r="482">
      <c r="C482" s="10"/>
      <c r="D482" s="10"/>
    </row>
    <row r="483">
      <c r="C483" s="10"/>
      <c r="D483" s="10"/>
    </row>
    <row r="484">
      <c r="C484" s="10"/>
      <c r="D484" s="10"/>
    </row>
    <row r="485">
      <c r="C485" s="10"/>
      <c r="D485" s="10"/>
    </row>
    <row r="486">
      <c r="C486" s="10"/>
      <c r="D486" s="10"/>
    </row>
    <row r="487">
      <c r="C487" s="10"/>
      <c r="D487" s="10"/>
    </row>
    <row r="488">
      <c r="C488" s="10"/>
      <c r="D488" s="10"/>
    </row>
    <row r="489">
      <c r="C489" s="10"/>
      <c r="D489" s="10"/>
    </row>
    <row r="490">
      <c r="C490" s="10"/>
      <c r="D490" s="10"/>
    </row>
    <row r="491">
      <c r="C491" s="10"/>
      <c r="D491" s="10"/>
    </row>
    <row r="492">
      <c r="C492" s="10"/>
      <c r="D492" s="10"/>
    </row>
    <row r="493">
      <c r="C493" s="10"/>
      <c r="D493" s="10"/>
    </row>
    <row r="494">
      <c r="C494" s="10"/>
      <c r="D494" s="10"/>
    </row>
    <row r="495">
      <c r="C495" s="10"/>
      <c r="D495" s="10"/>
    </row>
    <row r="496">
      <c r="C496" s="10"/>
      <c r="D496" s="10"/>
    </row>
    <row r="497">
      <c r="C497" s="10"/>
      <c r="D497" s="10"/>
    </row>
    <row r="498">
      <c r="C498" s="10"/>
      <c r="D498" s="10"/>
    </row>
    <row r="499">
      <c r="C499" s="10"/>
      <c r="D499" s="10"/>
    </row>
    <row r="500">
      <c r="C500" s="10"/>
      <c r="D500" s="10"/>
    </row>
    <row r="501">
      <c r="C501" s="10"/>
      <c r="D501" s="10"/>
    </row>
    <row r="502">
      <c r="C502" s="10"/>
      <c r="D502" s="10"/>
    </row>
    <row r="503">
      <c r="C503" s="10"/>
      <c r="D503" s="10"/>
    </row>
    <row r="504">
      <c r="C504" s="10"/>
      <c r="D504" s="10"/>
    </row>
    <row r="505">
      <c r="C505" s="10"/>
      <c r="D505" s="10"/>
    </row>
    <row r="506">
      <c r="C506" s="10"/>
      <c r="D506" s="10"/>
    </row>
    <row r="507">
      <c r="C507" s="10"/>
      <c r="D507" s="10"/>
    </row>
    <row r="508">
      <c r="C508" s="10"/>
      <c r="D508" s="10"/>
    </row>
    <row r="509">
      <c r="C509" s="10"/>
      <c r="D509" s="10"/>
    </row>
    <row r="510">
      <c r="C510" s="10"/>
      <c r="D510" s="10"/>
    </row>
    <row r="511">
      <c r="C511" s="10"/>
      <c r="D511" s="10"/>
    </row>
    <row r="512">
      <c r="C512" s="10"/>
      <c r="D512" s="10"/>
    </row>
    <row r="513">
      <c r="C513" s="10"/>
      <c r="D513" s="10"/>
    </row>
    <row r="514">
      <c r="C514" s="10"/>
      <c r="D514" s="10"/>
    </row>
    <row r="515">
      <c r="C515" s="10"/>
      <c r="D515" s="10"/>
    </row>
    <row r="516">
      <c r="C516" s="10"/>
      <c r="D516" s="10"/>
    </row>
    <row r="517">
      <c r="C517" s="10"/>
      <c r="D517" s="10"/>
    </row>
    <row r="518">
      <c r="C518" s="10"/>
      <c r="D518" s="10"/>
    </row>
    <row r="519">
      <c r="C519" s="10"/>
      <c r="D519" s="10"/>
    </row>
    <row r="520">
      <c r="C520" s="10"/>
      <c r="D520" s="10"/>
    </row>
    <row r="521">
      <c r="C521" s="10"/>
      <c r="D521" s="10"/>
    </row>
    <row r="522">
      <c r="C522" s="10"/>
      <c r="D522" s="10"/>
    </row>
    <row r="523">
      <c r="C523" s="10"/>
      <c r="D523" s="10"/>
    </row>
    <row r="524">
      <c r="C524" s="10"/>
      <c r="D524" s="10"/>
    </row>
    <row r="525">
      <c r="C525" s="10"/>
      <c r="D525" s="10"/>
    </row>
    <row r="526">
      <c r="C526" s="10"/>
      <c r="D526" s="10"/>
    </row>
    <row r="527">
      <c r="C527" s="10"/>
      <c r="D527" s="10"/>
    </row>
    <row r="528">
      <c r="C528" s="10"/>
      <c r="D528" s="10"/>
    </row>
    <row r="529">
      <c r="C529" s="10"/>
      <c r="D529" s="10"/>
    </row>
    <row r="530">
      <c r="C530" s="10"/>
      <c r="D530" s="10"/>
    </row>
    <row r="531">
      <c r="C531" s="10"/>
      <c r="D531" s="10"/>
    </row>
    <row r="532">
      <c r="C532" s="10"/>
      <c r="D532" s="10"/>
    </row>
    <row r="533">
      <c r="C533" s="10"/>
      <c r="D533" s="10"/>
    </row>
    <row r="534">
      <c r="C534" s="10"/>
      <c r="D534" s="10"/>
    </row>
    <row r="535">
      <c r="C535" s="10"/>
      <c r="D535" s="10"/>
    </row>
    <row r="536">
      <c r="C536" s="10"/>
      <c r="D536" s="10"/>
    </row>
    <row r="537">
      <c r="C537" s="10"/>
      <c r="D537" s="10"/>
    </row>
    <row r="538">
      <c r="C538" s="10"/>
      <c r="D538" s="10"/>
    </row>
    <row r="539">
      <c r="C539" s="10"/>
      <c r="D539" s="10"/>
    </row>
    <row r="540">
      <c r="C540" s="10"/>
      <c r="D540" s="10"/>
    </row>
    <row r="541">
      <c r="C541" s="10"/>
      <c r="D541" s="10"/>
    </row>
    <row r="542">
      <c r="C542" s="10"/>
      <c r="D542" s="10"/>
    </row>
    <row r="543">
      <c r="C543" s="10"/>
      <c r="D543" s="10"/>
    </row>
    <row r="544">
      <c r="C544" s="10"/>
      <c r="D544" s="10"/>
    </row>
    <row r="545">
      <c r="C545" s="10"/>
      <c r="D545" s="10"/>
    </row>
    <row r="546">
      <c r="C546" s="10"/>
      <c r="D546" s="10"/>
    </row>
    <row r="547">
      <c r="C547" s="10"/>
      <c r="D547" s="10"/>
    </row>
    <row r="548">
      <c r="C548" s="10"/>
      <c r="D548" s="10"/>
    </row>
    <row r="549">
      <c r="C549" s="10"/>
      <c r="D549" s="10"/>
    </row>
    <row r="550">
      <c r="C550" s="10"/>
      <c r="D550" s="10"/>
    </row>
    <row r="551">
      <c r="C551" s="10"/>
      <c r="D551" s="10"/>
    </row>
    <row r="552">
      <c r="C552" s="10"/>
      <c r="D552" s="10"/>
    </row>
    <row r="553">
      <c r="C553" s="10"/>
      <c r="D553" s="10"/>
    </row>
    <row r="554">
      <c r="C554" s="10"/>
      <c r="D554" s="10"/>
    </row>
    <row r="555">
      <c r="C555" s="10"/>
      <c r="D555" s="10"/>
    </row>
    <row r="556">
      <c r="C556" s="10"/>
      <c r="D556" s="10"/>
    </row>
    <row r="557">
      <c r="C557" s="10"/>
      <c r="D557" s="10"/>
    </row>
    <row r="558">
      <c r="C558" s="10"/>
      <c r="D558" s="10"/>
    </row>
    <row r="559">
      <c r="C559" s="10"/>
      <c r="D559" s="10"/>
    </row>
    <row r="560">
      <c r="C560" s="10"/>
      <c r="D560" s="10"/>
    </row>
    <row r="561">
      <c r="C561" s="10"/>
      <c r="D561" s="10"/>
    </row>
    <row r="562">
      <c r="C562" s="10"/>
      <c r="D562" s="10"/>
    </row>
    <row r="563">
      <c r="C563" s="10"/>
      <c r="D563" s="10"/>
    </row>
    <row r="564">
      <c r="C564" s="10"/>
      <c r="D564" s="10"/>
    </row>
    <row r="565">
      <c r="C565" s="10"/>
      <c r="D565" s="10"/>
    </row>
    <row r="566">
      <c r="C566" s="10"/>
      <c r="D566" s="10"/>
    </row>
    <row r="567">
      <c r="C567" s="10"/>
      <c r="D567" s="10"/>
    </row>
    <row r="568">
      <c r="C568" s="10"/>
      <c r="D568" s="10"/>
    </row>
    <row r="569">
      <c r="C569" s="10"/>
      <c r="D569" s="10"/>
    </row>
    <row r="570">
      <c r="C570" s="10"/>
      <c r="D570" s="10"/>
    </row>
    <row r="571">
      <c r="C571" s="10"/>
      <c r="D571" s="10"/>
    </row>
    <row r="572">
      <c r="C572" s="10"/>
      <c r="D572" s="10"/>
    </row>
    <row r="573">
      <c r="C573" s="10"/>
      <c r="D573" s="10"/>
    </row>
    <row r="574">
      <c r="C574" s="10"/>
      <c r="D574" s="10"/>
    </row>
    <row r="575">
      <c r="C575" s="10"/>
      <c r="D575" s="10"/>
    </row>
    <row r="576">
      <c r="C576" s="10"/>
      <c r="D576" s="10"/>
    </row>
    <row r="577">
      <c r="C577" s="10"/>
      <c r="D577" s="10"/>
    </row>
    <row r="578">
      <c r="C578" s="10"/>
      <c r="D578" s="10"/>
    </row>
    <row r="579">
      <c r="C579" s="10"/>
      <c r="D579" s="10"/>
    </row>
    <row r="580">
      <c r="C580" s="10"/>
      <c r="D580" s="10"/>
    </row>
    <row r="581">
      <c r="C581" s="10"/>
      <c r="D581" s="10"/>
    </row>
    <row r="582">
      <c r="C582" s="10"/>
      <c r="D582" s="10"/>
    </row>
    <row r="583">
      <c r="C583" s="10"/>
      <c r="D583" s="10"/>
    </row>
    <row r="584">
      <c r="C584" s="10"/>
      <c r="D584" s="10"/>
    </row>
    <row r="585">
      <c r="C585" s="10"/>
      <c r="D585" s="10"/>
    </row>
    <row r="586">
      <c r="C586" s="10"/>
      <c r="D586" s="10"/>
    </row>
    <row r="587">
      <c r="C587" s="10"/>
      <c r="D587" s="10"/>
    </row>
    <row r="588">
      <c r="C588" s="10"/>
      <c r="D588" s="10"/>
    </row>
    <row r="589">
      <c r="C589" s="10"/>
      <c r="D589" s="10"/>
    </row>
    <row r="590">
      <c r="C590" s="10"/>
      <c r="D590" s="10"/>
    </row>
    <row r="591">
      <c r="C591" s="10"/>
      <c r="D591" s="10"/>
    </row>
    <row r="592">
      <c r="C592" s="10"/>
      <c r="D592" s="10"/>
    </row>
    <row r="593">
      <c r="C593" s="10"/>
      <c r="D593" s="10"/>
    </row>
    <row r="594">
      <c r="C594" s="10"/>
      <c r="D594" s="10"/>
    </row>
    <row r="595">
      <c r="C595" s="10"/>
      <c r="D595" s="10"/>
    </row>
    <row r="596">
      <c r="C596" s="10"/>
      <c r="D596" s="10"/>
    </row>
    <row r="597">
      <c r="C597" s="10"/>
      <c r="D597" s="10"/>
    </row>
    <row r="598">
      <c r="C598" s="10"/>
      <c r="D598" s="10"/>
    </row>
    <row r="599">
      <c r="C599" s="10"/>
      <c r="D599" s="10"/>
    </row>
    <row r="600">
      <c r="C600" s="10"/>
      <c r="D600" s="10"/>
    </row>
    <row r="601">
      <c r="C601" s="10"/>
      <c r="D601" s="10"/>
    </row>
    <row r="602">
      <c r="C602" s="10"/>
      <c r="D602" s="10"/>
    </row>
    <row r="603">
      <c r="C603" s="10"/>
      <c r="D603" s="10"/>
    </row>
    <row r="604">
      <c r="C604" s="10"/>
      <c r="D604" s="10"/>
    </row>
    <row r="605">
      <c r="C605" s="10"/>
      <c r="D605" s="10"/>
    </row>
    <row r="606">
      <c r="C606" s="10"/>
      <c r="D606" s="10"/>
    </row>
    <row r="607">
      <c r="C607" s="10"/>
      <c r="D607" s="10"/>
    </row>
    <row r="608">
      <c r="C608" s="10"/>
      <c r="D608" s="10"/>
    </row>
    <row r="609">
      <c r="C609" s="10"/>
      <c r="D609" s="10"/>
    </row>
    <row r="610">
      <c r="C610" s="10"/>
      <c r="D610" s="10"/>
    </row>
    <row r="611">
      <c r="C611" s="10"/>
      <c r="D611" s="10"/>
    </row>
    <row r="612">
      <c r="C612" s="10"/>
      <c r="D612" s="10"/>
    </row>
    <row r="613">
      <c r="C613" s="10"/>
      <c r="D613" s="10"/>
    </row>
    <row r="614">
      <c r="C614" s="10"/>
      <c r="D614" s="10"/>
    </row>
    <row r="615">
      <c r="C615" s="10"/>
      <c r="D615" s="10"/>
    </row>
    <row r="616">
      <c r="C616" s="10"/>
      <c r="D616" s="10"/>
    </row>
    <row r="617">
      <c r="C617" s="10"/>
      <c r="D617" s="10"/>
    </row>
    <row r="618">
      <c r="C618" s="10"/>
      <c r="D618" s="10"/>
    </row>
    <row r="619">
      <c r="C619" s="10"/>
      <c r="D619" s="10"/>
    </row>
    <row r="620">
      <c r="C620" s="10"/>
      <c r="D620" s="10"/>
    </row>
    <row r="621">
      <c r="C621" s="10"/>
      <c r="D621" s="10"/>
    </row>
    <row r="622">
      <c r="C622" s="10"/>
      <c r="D622" s="10"/>
    </row>
    <row r="623">
      <c r="C623" s="10"/>
      <c r="D623" s="10"/>
    </row>
    <row r="624">
      <c r="C624" s="10"/>
      <c r="D624" s="10"/>
    </row>
    <row r="625">
      <c r="C625" s="10"/>
      <c r="D625" s="10"/>
    </row>
    <row r="626">
      <c r="C626" s="10"/>
      <c r="D626" s="10"/>
    </row>
    <row r="627">
      <c r="C627" s="10"/>
      <c r="D627" s="10"/>
    </row>
    <row r="628">
      <c r="C628" s="10"/>
      <c r="D628" s="10"/>
    </row>
    <row r="629">
      <c r="C629" s="10"/>
      <c r="D629" s="10"/>
    </row>
    <row r="630">
      <c r="C630" s="10"/>
      <c r="D630" s="10"/>
    </row>
    <row r="631">
      <c r="C631" s="10"/>
      <c r="D631" s="10"/>
    </row>
    <row r="632">
      <c r="C632" s="10"/>
      <c r="D632" s="10"/>
    </row>
    <row r="633">
      <c r="C633" s="10"/>
      <c r="D633" s="10"/>
    </row>
    <row r="634">
      <c r="C634" s="10"/>
      <c r="D634" s="10"/>
    </row>
    <row r="635">
      <c r="C635" s="10"/>
      <c r="D635" s="10"/>
    </row>
    <row r="636">
      <c r="C636" s="10"/>
      <c r="D636" s="10"/>
    </row>
    <row r="637">
      <c r="C637" s="10"/>
      <c r="D637" s="10"/>
    </row>
    <row r="638">
      <c r="C638" s="10"/>
      <c r="D638" s="10"/>
    </row>
    <row r="639">
      <c r="C639" s="10"/>
      <c r="D639" s="10"/>
    </row>
    <row r="640">
      <c r="C640" s="10"/>
      <c r="D640" s="10"/>
    </row>
    <row r="641">
      <c r="C641" s="10"/>
      <c r="D641" s="10"/>
    </row>
    <row r="642">
      <c r="C642" s="10"/>
      <c r="D642" s="10"/>
    </row>
    <row r="643">
      <c r="C643" s="10"/>
      <c r="D643" s="10"/>
    </row>
    <row r="644">
      <c r="C644" s="10"/>
      <c r="D644" s="10"/>
    </row>
    <row r="645">
      <c r="C645" s="10"/>
      <c r="D645" s="10"/>
    </row>
    <row r="646">
      <c r="C646" s="10"/>
      <c r="D646" s="10"/>
    </row>
    <row r="647">
      <c r="C647" s="10"/>
      <c r="D647" s="10"/>
    </row>
    <row r="648">
      <c r="C648" s="10"/>
      <c r="D648" s="10"/>
    </row>
    <row r="649">
      <c r="C649" s="10"/>
      <c r="D649" s="10"/>
    </row>
    <row r="650">
      <c r="C650" s="10"/>
      <c r="D650" s="10"/>
    </row>
    <row r="651">
      <c r="C651" s="10"/>
      <c r="D651" s="10"/>
    </row>
    <row r="652">
      <c r="C652" s="10"/>
      <c r="D652" s="10"/>
    </row>
    <row r="653">
      <c r="C653" s="10"/>
      <c r="D653" s="10"/>
    </row>
    <row r="654">
      <c r="C654" s="10"/>
      <c r="D654" s="10"/>
    </row>
    <row r="655">
      <c r="C655" s="10"/>
      <c r="D655" s="10"/>
    </row>
    <row r="656">
      <c r="C656" s="10"/>
      <c r="D656" s="10"/>
    </row>
    <row r="657">
      <c r="C657" s="10"/>
      <c r="D657" s="10"/>
    </row>
    <row r="658">
      <c r="C658" s="10"/>
      <c r="D658" s="10"/>
    </row>
    <row r="659">
      <c r="C659" s="10"/>
      <c r="D659" s="10"/>
    </row>
    <row r="660">
      <c r="C660" s="10"/>
      <c r="D660" s="10"/>
    </row>
    <row r="661">
      <c r="C661" s="10"/>
      <c r="D661" s="10"/>
    </row>
    <row r="662">
      <c r="C662" s="10"/>
      <c r="D662" s="10"/>
    </row>
    <row r="663">
      <c r="C663" s="10"/>
      <c r="D663" s="10"/>
    </row>
    <row r="664">
      <c r="C664" s="10"/>
      <c r="D664" s="10"/>
    </row>
    <row r="665">
      <c r="C665" s="10"/>
      <c r="D665" s="10"/>
    </row>
    <row r="666">
      <c r="C666" s="10"/>
      <c r="D666" s="10"/>
    </row>
    <row r="667">
      <c r="C667" s="10"/>
      <c r="D667" s="10"/>
    </row>
    <row r="668">
      <c r="C668" s="10"/>
      <c r="D668" s="10"/>
    </row>
    <row r="669">
      <c r="C669" s="10"/>
      <c r="D669" s="10"/>
    </row>
    <row r="670">
      <c r="C670" s="10"/>
      <c r="D670" s="10"/>
    </row>
    <row r="671">
      <c r="C671" s="10"/>
      <c r="D671" s="10"/>
    </row>
    <row r="672">
      <c r="C672" s="10"/>
      <c r="D672" s="10"/>
    </row>
    <row r="673">
      <c r="C673" s="10"/>
      <c r="D673" s="10"/>
    </row>
    <row r="674">
      <c r="C674" s="10"/>
      <c r="D674" s="10"/>
    </row>
    <row r="675">
      <c r="C675" s="10"/>
      <c r="D675" s="10"/>
    </row>
    <row r="676">
      <c r="C676" s="10"/>
      <c r="D676" s="10"/>
    </row>
    <row r="677">
      <c r="C677" s="10"/>
      <c r="D677" s="10"/>
    </row>
    <row r="678">
      <c r="C678" s="10"/>
      <c r="D678" s="10"/>
    </row>
    <row r="679">
      <c r="C679" s="10"/>
      <c r="D679" s="10"/>
    </row>
    <row r="680">
      <c r="C680" s="10"/>
      <c r="D680" s="10"/>
    </row>
    <row r="681">
      <c r="C681" s="10"/>
      <c r="D681" s="10"/>
    </row>
    <row r="682">
      <c r="C682" s="10"/>
      <c r="D682" s="10"/>
    </row>
    <row r="683">
      <c r="C683" s="10"/>
      <c r="D683" s="10"/>
    </row>
    <row r="684">
      <c r="C684" s="10"/>
      <c r="D684" s="10"/>
    </row>
    <row r="685">
      <c r="C685" s="10"/>
      <c r="D685" s="10"/>
    </row>
    <row r="686">
      <c r="C686" s="10"/>
      <c r="D686" s="10"/>
    </row>
    <row r="687">
      <c r="C687" s="10"/>
      <c r="D687" s="10"/>
    </row>
    <row r="688">
      <c r="C688" s="10"/>
      <c r="D688" s="10"/>
    </row>
    <row r="689">
      <c r="C689" s="10"/>
      <c r="D689" s="10"/>
    </row>
    <row r="690">
      <c r="C690" s="10"/>
      <c r="D690" s="10"/>
    </row>
    <row r="691">
      <c r="C691" s="10"/>
      <c r="D691" s="10"/>
    </row>
    <row r="692">
      <c r="C692" s="10"/>
      <c r="D692" s="10"/>
    </row>
    <row r="693">
      <c r="C693" s="10"/>
      <c r="D693" s="10"/>
    </row>
    <row r="694">
      <c r="C694" s="10"/>
      <c r="D694" s="10"/>
    </row>
    <row r="695">
      <c r="C695" s="10"/>
      <c r="D695" s="10"/>
    </row>
    <row r="696">
      <c r="C696" s="10"/>
      <c r="D696" s="10"/>
    </row>
    <row r="697">
      <c r="C697" s="10"/>
      <c r="D697" s="10"/>
    </row>
    <row r="698">
      <c r="C698" s="10"/>
      <c r="D698" s="10"/>
    </row>
    <row r="699">
      <c r="C699" s="10"/>
      <c r="D699" s="10"/>
    </row>
    <row r="700">
      <c r="C700" s="10"/>
      <c r="D700" s="10"/>
    </row>
    <row r="701">
      <c r="C701" s="10"/>
      <c r="D701" s="10"/>
    </row>
    <row r="702">
      <c r="C702" s="10"/>
      <c r="D702" s="10"/>
    </row>
    <row r="703">
      <c r="C703" s="10"/>
      <c r="D703" s="10"/>
    </row>
    <row r="704">
      <c r="C704" s="10"/>
      <c r="D704" s="10"/>
    </row>
    <row r="705">
      <c r="C705" s="10"/>
      <c r="D705" s="10"/>
    </row>
    <row r="706">
      <c r="C706" s="10"/>
      <c r="D706" s="10"/>
    </row>
    <row r="707">
      <c r="C707" s="10"/>
      <c r="D707" s="10"/>
    </row>
    <row r="708">
      <c r="C708" s="10"/>
      <c r="D708" s="10"/>
    </row>
    <row r="709">
      <c r="C709" s="10"/>
      <c r="D709" s="10"/>
    </row>
    <row r="710">
      <c r="C710" s="10"/>
      <c r="D710" s="10"/>
    </row>
    <row r="711">
      <c r="C711" s="10"/>
      <c r="D711" s="10"/>
    </row>
    <row r="712">
      <c r="C712" s="10"/>
      <c r="D712" s="10"/>
    </row>
    <row r="713">
      <c r="C713" s="10"/>
      <c r="D713" s="10"/>
    </row>
    <row r="714">
      <c r="C714" s="10"/>
      <c r="D714" s="10"/>
    </row>
    <row r="715">
      <c r="C715" s="10"/>
      <c r="D715" s="10"/>
    </row>
    <row r="716">
      <c r="C716" s="10"/>
      <c r="D716" s="10"/>
    </row>
    <row r="717">
      <c r="C717" s="10"/>
      <c r="D717" s="10"/>
    </row>
    <row r="718">
      <c r="C718" s="10"/>
      <c r="D718" s="10"/>
    </row>
    <row r="719">
      <c r="C719" s="10"/>
      <c r="D719" s="10"/>
    </row>
    <row r="720">
      <c r="C720" s="10"/>
      <c r="D720" s="10"/>
    </row>
    <row r="721">
      <c r="C721" s="10"/>
      <c r="D721" s="10"/>
    </row>
    <row r="722">
      <c r="C722" s="10"/>
      <c r="D722" s="10"/>
    </row>
    <row r="723">
      <c r="C723" s="10"/>
      <c r="D723" s="10"/>
    </row>
    <row r="724">
      <c r="C724" s="10"/>
      <c r="D724" s="10"/>
    </row>
    <row r="725">
      <c r="C725" s="10"/>
      <c r="D725" s="10"/>
    </row>
    <row r="726">
      <c r="C726" s="10"/>
      <c r="D726" s="10"/>
    </row>
    <row r="727">
      <c r="C727" s="10"/>
      <c r="D727" s="10"/>
    </row>
    <row r="728">
      <c r="C728" s="10"/>
      <c r="D728" s="10"/>
    </row>
    <row r="729">
      <c r="C729" s="10"/>
      <c r="D729" s="10"/>
    </row>
    <row r="730">
      <c r="C730" s="10"/>
      <c r="D730" s="10"/>
    </row>
    <row r="731">
      <c r="C731" s="10"/>
      <c r="D731" s="10"/>
    </row>
    <row r="732">
      <c r="C732" s="10"/>
      <c r="D732" s="10"/>
    </row>
    <row r="733">
      <c r="C733" s="10"/>
      <c r="D733" s="10"/>
    </row>
    <row r="734">
      <c r="C734" s="10"/>
      <c r="D734" s="10"/>
    </row>
    <row r="735">
      <c r="C735" s="10"/>
      <c r="D735" s="10"/>
    </row>
    <row r="736">
      <c r="C736" s="10"/>
      <c r="D736" s="10"/>
    </row>
    <row r="737">
      <c r="C737" s="10"/>
      <c r="D737" s="10"/>
    </row>
    <row r="738">
      <c r="C738" s="10"/>
      <c r="D738" s="10"/>
    </row>
    <row r="739">
      <c r="C739" s="10"/>
      <c r="D739" s="10"/>
    </row>
    <row r="740">
      <c r="C740" s="10"/>
      <c r="D740" s="10"/>
    </row>
    <row r="741">
      <c r="C741" s="10"/>
      <c r="D741" s="10"/>
    </row>
    <row r="742">
      <c r="C742" s="10"/>
      <c r="D742" s="10"/>
    </row>
    <row r="743">
      <c r="C743" s="10"/>
      <c r="D743" s="10"/>
    </row>
    <row r="744">
      <c r="C744" s="10"/>
      <c r="D744" s="10"/>
    </row>
    <row r="745">
      <c r="C745" s="10"/>
      <c r="D745" s="10"/>
    </row>
    <row r="746">
      <c r="C746" s="10"/>
      <c r="D746" s="10"/>
    </row>
    <row r="747">
      <c r="C747" s="10"/>
      <c r="D747" s="10"/>
    </row>
    <row r="748">
      <c r="C748" s="10"/>
      <c r="D748" s="10"/>
    </row>
    <row r="749">
      <c r="C749" s="10"/>
      <c r="D749" s="10"/>
    </row>
    <row r="750">
      <c r="C750" s="10"/>
      <c r="D750" s="10"/>
    </row>
    <row r="751">
      <c r="C751" s="10"/>
      <c r="D751" s="10"/>
    </row>
    <row r="752">
      <c r="C752" s="10"/>
      <c r="D752" s="10"/>
    </row>
    <row r="753">
      <c r="C753" s="10"/>
      <c r="D753" s="10"/>
    </row>
    <row r="754">
      <c r="C754" s="10"/>
      <c r="D754" s="10"/>
    </row>
    <row r="755">
      <c r="C755" s="10"/>
      <c r="D755" s="10"/>
    </row>
    <row r="756">
      <c r="C756" s="10"/>
      <c r="D756" s="10"/>
    </row>
    <row r="757">
      <c r="C757" s="10"/>
      <c r="D757" s="10"/>
    </row>
    <row r="758">
      <c r="C758" s="10"/>
      <c r="D758" s="10"/>
    </row>
    <row r="759">
      <c r="C759" s="10"/>
      <c r="D759" s="10"/>
    </row>
    <row r="760">
      <c r="C760" s="10"/>
      <c r="D760" s="10"/>
    </row>
    <row r="761">
      <c r="C761" s="10"/>
      <c r="D761" s="10"/>
    </row>
    <row r="762">
      <c r="C762" s="10"/>
      <c r="D762" s="10"/>
    </row>
    <row r="763">
      <c r="C763" s="10"/>
      <c r="D763" s="10"/>
    </row>
    <row r="764">
      <c r="C764" s="10"/>
      <c r="D764" s="10"/>
    </row>
    <row r="765">
      <c r="C765" s="10"/>
      <c r="D765" s="10"/>
    </row>
    <row r="766">
      <c r="C766" s="10"/>
      <c r="D766" s="10"/>
    </row>
    <row r="767">
      <c r="C767" s="10"/>
      <c r="D767" s="10"/>
    </row>
    <row r="768">
      <c r="C768" s="10"/>
      <c r="D768" s="10"/>
    </row>
    <row r="769">
      <c r="C769" s="10"/>
      <c r="D769" s="10"/>
    </row>
    <row r="770">
      <c r="C770" s="10"/>
      <c r="D770" s="10"/>
    </row>
    <row r="771">
      <c r="C771" s="10"/>
      <c r="D771" s="10"/>
    </row>
    <row r="772">
      <c r="C772" s="10"/>
      <c r="D772" s="10"/>
    </row>
    <row r="773">
      <c r="C773" s="10"/>
      <c r="D773" s="10"/>
    </row>
    <row r="774">
      <c r="C774" s="10"/>
      <c r="D774" s="10"/>
    </row>
    <row r="775">
      <c r="C775" s="10"/>
      <c r="D775" s="10"/>
    </row>
    <row r="776">
      <c r="C776" s="10"/>
      <c r="D776" s="10"/>
    </row>
    <row r="777">
      <c r="C777" s="10"/>
      <c r="D777" s="10"/>
    </row>
    <row r="778">
      <c r="C778" s="10"/>
      <c r="D778" s="10"/>
    </row>
    <row r="779">
      <c r="C779" s="10"/>
      <c r="D779" s="10"/>
    </row>
    <row r="780">
      <c r="C780" s="10"/>
      <c r="D780" s="10"/>
    </row>
    <row r="781">
      <c r="C781" s="10"/>
      <c r="D781" s="10"/>
    </row>
    <row r="782">
      <c r="C782" s="10"/>
      <c r="D782" s="10"/>
    </row>
    <row r="783">
      <c r="C783" s="10"/>
      <c r="D783" s="10"/>
    </row>
    <row r="784">
      <c r="C784" s="10"/>
      <c r="D784" s="10"/>
    </row>
    <row r="785">
      <c r="C785" s="10"/>
      <c r="D785" s="10"/>
    </row>
    <row r="786">
      <c r="C786" s="10"/>
      <c r="D786" s="10"/>
    </row>
    <row r="787">
      <c r="C787" s="10"/>
      <c r="D787" s="10"/>
    </row>
    <row r="788">
      <c r="C788" s="10"/>
      <c r="D788" s="10"/>
    </row>
    <row r="789">
      <c r="C789" s="10"/>
      <c r="D789" s="10"/>
    </row>
    <row r="790">
      <c r="C790" s="10"/>
      <c r="D790" s="10"/>
    </row>
    <row r="791">
      <c r="C791" s="10"/>
      <c r="D791" s="10"/>
    </row>
    <row r="792">
      <c r="C792" s="10"/>
      <c r="D792" s="10"/>
    </row>
    <row r="793">
      <c r="C793" s="10"/>
      <c r="D793" s="10"/>
    </row>
    <row r="794">
      <c r="C794" s="10"/>
      <c r="D794" s="10"/>
    </row>
    <row r="795">
      <c r="C795" s="10"/>
      <c r="D795" s="10"/>
    </row>
    <row r="796">
      <c r="C796" s="10"/>
      <c r="D796" s="10"/>
    </row>
    <row r="797">
      <c r="C797" s="10"/>
      <c r="D797" s="10"/>
    </row>
    <row r="798">
      <c r="C798" s="10"/>
      <c r="D798" s="10"/>
    </row>
    <row r="799">
      <c r="C799" s="10"/>
      <c r="D799" s="10"/>
    </row>
    <row r="800">
      <c r="C800" s="10"/>
      <c r="D800" s="10"/>
    </row>
    <row r="801">
      <c r="C801" s="10"/>
      <c r="D801" s="10"/>
    </row>
    <row r="802">
      <c r="C802" s="10"/>
      <c r="D802" s="10"/>
    </row>
    <row r="803">
      <c r="C803" s="10"/>
      <c r="D803" s="10"/>
    </row>
    <row r="804">
      <c r="C804" s="10"/>
      <c r="D804" s="10"/>
    </row>
    <row r="805">
      <c r="C805" s="10"/>
      <c r="D805" s="10"/>
    </row>
    <row r="806">
      <c r="C806" s="10"/>
      <c r="D806" s="10"/>
    </row>
    <row r="807">
      <c r="C807" s="10"/>
      <c r="D807" s="10"/>
    </row>
    <row r="808">
      <c r="C808" s="10"/>
      <c r="D808" s="10"/>
    </row>
    <row r="809">
      <c r="C809" s="10"/>
      <c r="D809" s="10"/>
    </row>
    <row r="810">
      <c r="C810" s="10"/>
      <c r="D810" s="10"/>
    </row>
    <row r="811">
      <c r="C811" s="10"/>
      <c r="D811" s="10"/>
    </row>
    <row r="812">
      <c r="C812" s="10"/>
      <c r="D812" s="10"/>
    </row>
    <row r="813">
      <c r="C813" s="10"/>
      <c r="D813" s="10"/>
    </row>
    <row r="814">
      <c r="C814" s="10"/>
      <c r="D814" s="10"/>
    </row>
    <row r="815">
      <c r="C815" s="10"/>
      <c r="D815" s="10"/>
    </row>
    <row r="816">
      <c r="C816" s="10"/>
      <c r="D816" s="10"/>
    </row>
    <row r="817">
      <c r="C817" s="10"/>
      <c r="D817" s="10"/>
    </row>
    <row r="818">
      <c r="C818" s="10"/>
      <c r="D818" s="10"/>
    </row>
    <row r="819">
      <c r="C819" s="10"/>
      <c r="D819" s="10"/>
    </row>
    <row r="820">
      <c r="C820" s="10"/>
      <c r="D820" s="10"/>
    </row>
    <row r="821">
      <c r="C821" s="10"/>
      <c r="D821" s="10"/>
    </row>
    <row r="822">
      <c r="C822" s="10"/>
      <c r="D822" s="10"/>
    </row>
    <row r="823">
      <c r="C823" s="10"/>
      <c r="D823" s="10"/>
    </row>
    <row r="824">
      <c r="C824" s="10"/>
      <c r="D824" s="10"/>
    </row>
    <row r="825">
      <c r="C825" s="10"/>
      <c r="D825" s="10"/>
    </row>
    <row r="826">
      <c r="C826" s="10"/>
      <c r="D826" s="10"/>
    </row>
    <row r="827">
      <c r="C827" s="10"/>
      <c r="D827" s="10"/>
    </row>
    <row r="828">
      <c r="C828" s="10"/>
      <c r="D828" s="10"/>
    </row>
    <row r="829">
      <c r="C829" s="10"/>
      <c r="D829" s="10"/>
    </row>
    <row r="830">
      <c r="C830" s="10"/>
      <c r="D830" s="10"/>
    </row>
    <row r="831">
      <c r="C831" s="10"/>
      <c r="D831" s="10"/>
    </row>
    <row r="832">
      <c r="C832" s="10"/>
      <c r="D832" s="10"/>
    </row>
    <row r="833">
      <c r="C833" s="10"/>
      <c r="D833" s="10"/>
    </row>
    <row r="834">
      <c r="C834" s="10"/>
      <c r="D834" s="10"/>
    </row>
    <row r="835">
      <c r="C835" s="10"/>
      <c r="D835" s="10"/>
    </row>
    <row r="836">
      <c r="C836" s="10"/>
      <c r="D836" s="10"/>
    </row>
    <row r="837">
      <c r="C837" s="10"/>
      <c r="D837" s="10"/>
    </row>
    <row r="838">
      <c r="C838" s="10"/>
      <c r="D838" s="10"/>
    </row>
    <row r="839">
      <c r="C839" s="10"/>
      <c r="D839" s="10"/>
    </row>
    <row r="840">
      <c r="C840" s="10"/>
      <c r="D840" s="10"/>
    </row>
    <row r="841">
      <c r="C841" s="10"/>
      <c r="D841" s="10"/>
    </row>
    <row r="842">
      <c r="C842" s="10"/>
      <c r="D842" s="10"/>
    </row>
    <row r="843">
      <c r="C843" s="10"/>
      <c r="D843" s="10"/>
    </row>
    <row r="844">
      <c r="C844" s="10"/>
      <c r="D844" s="10"/>
    </row>
    <row r="845">
      <c r="C845" s="10"/>
      <c r="D845" s="10"/>
    </row>
    <row r="846">
      <c r="C846" s="10"/>
      <c r="D846" s="10"/>
    </row>
    <row r="847">
      <c r="C847" s="10"/>
      <c r="D847" s="10"/>
    </row>
    <row r="848">
      <c r="C848" s="10"/>
      <c r="D848" s="10"/>
    </row>
    <row r="849">
      <c r="C849" s="10"/>
      <c r="D849" s="10"/>
    </row>
    <row r="850">
      <c r="C850" s="10"/>
      <c r="D850" s="10"/>
    </row>
    <row r="851">
      <c r="C851" s="10"/>
      <c r="D851" s="10"/>
    </row>
    <row r="852">
      <c r="C852" s="10"/>
      <c r="D852" s="10"/>
    </row>
    <row r="853">
      <c r="C853" s="10"/>
      <c r="D853" s="10"/>
    </row>
    <row r="854">
      <c r="C854" s="10"/>
      <c r="D854" s="10"/>
    </row>
    <row r="855">
      <c r="C855" s="10"/>
      <c r="D855" s="10"/>
    </row>
    <row r="856">
      <c r="C856" s="10"/>
      <c r="D856" s="10"/>
    </row>
    <row r="857">
      <c r="C857" s="10"/>
      <c r="D857" s="10"/>
    </row>
    <row r="858">
      <c r="C858" s="10"/>
      <c r="D858" s="10"/>
    </row>
    <row r="859">
      <c r="C859" s="10"/>
      <c r="D859" s="10"/>
    </row>
    <row r="860">
      <c r="C860" s="10"/>
      <c r="D860" s="10"/>
    </row>
    <row r="861">
      <c r="C861" s="10"/>
      <c r="D861" s="10"/>
    </row>
    <row r="862">
      <c r="C862" s="10"/>
      <c r="D862" s="10"/>
    </row>
    <row r="863">
      <c r="C863" s="10"/>
      <c r="D863" s="10"/>
    </row>
    <row r="864">
      <c r="C864" s="10"/>
      <c r="D864" s="10"/>
    </row>
    <row r="865">
      <c r="C865" s="10"/>
      <c r="D865" s="10"/>
    </row>
    <row r="866">
      <c r="C866" s="10"/>
      <c r="D866" s="10"/>
    </row>
    <row r="867">
      <c r="C867" s="10"/>
      <c r="D867" s="10"/>
    </row>
    <row r="868">
      <c r="C868" s="10"/>
      <c r="D868" s="10"/>
    </row>
    <row r="869">
      <c r="C869" s="10"/>
      <c r="D869" s="10"/>
    </row>
    <row r="870">
      <c r="C870" s="10"/>
      <c r="D870" s="10"/>
    </row>
    <row r="871">
      <c r="C871" s="10"/>
      <c r="D871" s="10"/>
    </row>
    <row r="872">
      <c r="C872" s="10"/>
      <c r="D872" s="10"/>
    </row>
    <row r="873">
      <c r="C873" s="10"/>
      <c r="D873" s="10"/>
    </row>
    <row r="874">
      <c r="C874" s="10"/>
      <c r="D874" s="10"/>
    </row>
    <row r="875">
      <c r="C875" s="10"/>
      <c r="D875" s="10"/>
    </row>
    <row r="876">
      <c r="C876" s="10"/>
      <c r="D876" s="10"/>
    </row>
    <row r="877">
      <c r="C877" s="10"/>
      <c r="D877" s="10"/>
    </row>
    <row r="878">
      <c r="C878" s="10"/>
      <c r="D878" s="10"/>
    </row>
    <row r="879">
      <c r="C879" s="10"/>
      <c r="D879" s="10"/>
    </row>
    <row r="880">
      <c r="C880" s="10"/>
      <c r="D880" s="10"/>
    </row>
    <row r="881">
      <c r="C881" s="10"/>
      <c r="D881" s="10"/>
    </row>
    <row r="882">
      <c r="C882" s="10"/>
      <c r="D882" s="10"/>
    </row>
    <row r="883">
      <c r="C883" s="10"/>
      <c r="D883" s="10"/>
    </row>
    <row r="884">
      <c r="C884" s="10"/>
      <c r="D884" s="10"/>
    </row>
    <row r="885">
      <c r="C885" s="10"/>
      <c r="D885" s="10"/>
    </row>
    <row r="886">
      <c r="C886" s="10"/>
      <c r="D886" s="10"/>
    </row>
    <row r="887">
      <c r="C887" s="10"/>
      <c r="D887" s="10"/>
    </row>
    <row r="888">
      <c r="C888" s="10"/>
      <c r="D888" s="10"/>
    </row>
    <row r="889">
      <c r="C889" s="10"/>
      <c r="D889" s="10"/>
    </row>
    <row r="890">
      <c r="C890" s="10"/>
      <c r="D890" s="10"/>
    </row>
    <row r="891">
      <c r="C891" s="10"/>
      <c r="D891" s="10"/>
    </row>
    <row r="892">
      <c r="C892" s="10"/>
      <c r="D892" s="10"/>
    </row>
    <row r="893">
      <c r="C893" s="10"/>
      <c r="D893" s="10"/>
    </row>
    <row r="894">
      <c r="C894" s="10"/>
      <c r="D894" s="10"/>
    </row>
    <row r="895">
      <c r="C895" s="10"/>
      <c r="D895" s="10"/>
    </row>
    <row r="896">
      <c r="C896" s="10"/>
      <c r="D896" s="10"/>
    </row>
    <row r="897">
      <c r="C897" s="10"/>
      <c r="D897" s="10"/>
    </row>
    <row r="898">
      <c r="C898" s="10"/>
      <c r="D898" s="10"/>
    </row>
    <row r="899">
      <c r="C899" s="10"/>
      <c r="D899" s="10"/>
    </row>
    <row r="900">
      <c r="C900" s="10"/>
      <c r="D900" s="10"/>
    </row>
    <row r="901">
      <c r="C901" s="10"/>
      <c r="D901" s="10"/>
    </row>
    <row r="902">
      <c r="C902" s="10"/>
      <c r="D902" s="10"/>
    </row>
    <row r="903">
      <c r="C903" s="10"/>
      <c r="D903" s="10"/>
    </row>
    <row r="904">
      <c r="C904" s="10"/>
      <c r="D904" s="10"/>
    </row>
    <row r="905">
      <c r="C905" s="10"/>
      <c r="D905" s="10"/>
    </row>
    <row r="906">
      <c r="C906" s="10"/>
      <c r="D906" s="10"/>
    </row>
    <row r="907">
      <c r="C907" s="10"/>
      <c r="D907" s="10"/>
    </row>
    <row r="908">
      <c r="C908" s="10"/>
      <c r="D908" s="10"/>
    </row>
    <row r="909">
      <c r="C909" s="10"/>
      <c r="D909" s="10"/>
    </row>
    <row r="910">
      <c r="C910" s="10"/>
      <c r="D910" s="10"/>
    </row>
    <row r="911">
      <c r="C911" s="10"/>
      <c r="D911" s="10"/>
    </row>
    <row r="912">
      <c r="C912" s="10"/>
      <c r="D912" s="10"/>
    </row>
    <row r="913">
      <c r="C913" s="10"/>
      <c r="D913" s="10"/>
    </row>
    <row r="914">
      <c r="C914" s="10"/>
      <c r="D914" s="10"/>
    </row>
    <row r="915">
      <c r="C915" s="10"/>
      <c r="D915" s="10"/>
    </row>
    <row r="916">
      <c r="C916" s="10"/>
      <c r="D916" s="10"/>
    </row>
    <row r="917">
      <c r="C917" s="10"/>
      <c r="D917" s="10"/>
    </row>
    <row r="918">
      <c r="C918" s="10"/>
      <c r="D918" s="10"/>
    </row>
    <row r="919">
      <c r="C919" s="10"/>
      <c r="D919" s="10"/>
    </row>
    <row r="920">
      <c r="C920" s="10"/>
      <c r="D920" s="10"/>
    </row>
    <row r="921">
      <c r="C921" s="10"/>
      <c r="D921" s="10"/>
    </row>
    <row r="922">
      <c r="C922" s="10"/>
      <c r="D922" s="10"/>
    </row>
    <row r="923">
      <c r="C923" s="10"/>
      <c r="D923" s="10"/>
    </row>
    <row r="924">
      <c r="C924" s="10"/>
      <c r="D924" s="10"/>
    </row>
    <row r="925">
      <c r="C925" s="10"/>
      <c r="D925" s="10"/>
    </row>
    <row r="926">
      <c r="C926" s="10"/>
      <c r="D926" s="10"/>
    </row>
    <row r="927">
      <c r="C927" s="10"/>
      <c r="D927" s="10"/>
    </row>
    <row r="928">
      <c r="C928" s="10"/>
      <c r="D928" s="10"/>
    </row>
    <row r="929">
      <c r="C929" s="10"/>
      <c r="D929" s="10"/>
    </row>
    <row r="930">
      <c r="C930" s="10"/>
      <c r="D930" s="10"/>
    </row>
    <row r="931">
      <c r="C931" s="10"/>
      <c r="D931" s="10"/>
    </row>
    <row r="932">
      <c r="C932" s="10"/>
      <c r="D932" s="10"/>
    </row>
    <row r="933">
      <c r="C933" s="10"/>
      <c r="D933" s="10"/>
    </row>
    <row r="934">
      <c r="C934" s="10"/>
      <c r="D934" s="10"/>
    </row>
    <row r="935">
      <c r="C935" s="10"/>
      <c r="D935" s="10"/>
    </row>
    <row r="936">
      <c r="C936" s="10"/>
      <c r="D936" s="10"/>
    </row>
    <row r="937">
      <c r="C937" s="10"/>
      <c r="D937" s="10"/>
    </row>
    <row r="938">
      <c r="C938" s="10"/>
      <c r="D938" s="10"/>
    </row>
    <row r="939">
      <c r="C939" s="10"/>
      <c r="D939" s="10"/>
    </row>
    <row r="940">
      <c r="C940" s="10"/>
      <c r="D940" s="10"/>
    </row>
    <row r="941">
      <c r="C941" s="10"/>
      <c r="D941" s="10"/>
    </row>
    <row r="942">
      <c r="C942" s="10"/>
      <c r="D942" s="10"/>
    </row>
    <row r="943">
      <c r="C943" s="10"/>
      <c r="D943" s="10"/>
    </row>
    <row r="944">
      <c r="C944" s="10"/>
      <c r="D944" s="10"/>
    </row>
    <row r="945">
      <c r="C945" s="10"/>
      <c r="D945" s="10"/>
    </row>
    <row r="946">
      <c r="C946" s="10"/>
      <c r="D946" s="10"/>
    </row>
    <row r="947">
      <c r="C947" s="10"/>
      <c r="D947" s="10"/>
    </row>
    <row r="948">
      <c r="C948" s="10"/>
      <c r="D948" s="10"/>
    </row>
    <row r="949">
      <c r="C949" s="10"/>
      <c r="D949" s="10"/>
    </row>
    <row r="950">
      <c r="C950" s="10"/>
      <c r="D950" s="10"/>
    </row>
    <row r="951">
      <c r="C951" s="10"/>
      <c r="D951" s="10"/>
    </row>
    <row r="952">
      <c r="C952" s="10"/>
      <c r="D952" s="10"/>
    </row>
    <row r="953">
      <c r="C953" s="10"/>
      <c r="D953" s="10"/>
    </row>
    <row r="954">
      <c r="C954" s="10"/>
      <c r="D954" s="10"/>
    </row>
    <row r="955">
      <c r="C955" s="10"/>
      <c r="D955" s="10"/>
    </row>
    <row r="956">
      <c r="C956" s="10"/>
      <c r="D956" s="10"/>
    </row>
    <row r="957">
      <c r="C957" s="10"/>
      <c r="D957" s="10"/>
    </row>
    <row r="958">
      <c r="C958" s="10"/>
      <c r="D958" s="10"/>
    </row>
    <row r="959">
      <c r="C959" s="10"/>
      <c r="D959" s="10"/>
    </row>
    <row r="960">
      <c r="C960" s="10"/>
      <c r="D960" s="10"/>
    </row>
    <row r="961">
      <c r="C961" s="10"/>
      <c r="D961" s="10"/>
    </row>
    <row r="962">
      <c r="C962" s="10"/>
      <c r="D962" s="10"/>
    </row>
    <row r="963">
      <c r="C963" s="10"/>
      <c r="D963" s="10"/>
    </row>
    <row r="964">
      <c r="C964" s="10"/>
      <c r="D964" s="10"/>
    </row>
    <row r="965">
      <c r="C965" s="10"/>
      <c r="D965" s="10"/>
    </row>
    <row r="966">
      <c r="C966" s="10"/>
      <c r="D966" s="10"/>
    </row>
    <row r="967">
      <c r="C967" s="10"/>
      <c r="D967" s="10"/>
    </row>
    <row r="968">
      <c r="C968" s="10"/>
      <c r="D968" s="10"/>
    </row>
    <row r="969">
      <c r="C969" s="10"/>
      <c r="D969" s="10"/>
    </row>
    <row r="970">
      <c r="C970" s="10"/>
      <c r="D970" s="10"/>
    </row>
    <row r="971">
      <c r="C971" s="10"/>
      <c r="D971" s="10"/>
    </row>
    <row r="972">
      <c r="C972" s="10"/>
      <c r="D972" s="10"/>
    </row>
    <row r="973">
      <c r="C973" s="10"/>
      <c r="D973" s="10"/>
    </row>
    <row r="974">
      <c r="C974" s="10"/>
      <c r="D974" s="10"/>
    </row>
    <row r="975">
      <c r="C975" s="10"/>
      <c r="D975" s="10"/>
    </row>
    <row r="976">
      <c r="C976" s="10"/>
      <c r="D976" s="10"/>
    </row>
    <row r="977">
      <c r="C977" s="10"/>
      <c r="D977" s="10"/>
    </row>
    <row r="978">
      <c r="C978" s="10"/>
      <c r="D978" s="10"/>
    </row>
    <row r="979">
      <c r="C979" s="10"/>
      <c r="D979" s="10"/>
    </row>
    <row r="980">
      <c r="C980" s="10"/>
      <c r="D980" s="10"/>
    </row>
    <row r="981">
      <c r="C981" s="10"/>
      <c r="D981" s="10"/>
    </row>
    <row r="982">
      <c r="C982" s="10"/>
      <c r="D982" s="10"/>
    </row>
    <row r="983">
      <c r="C983" s="10"/>
      <c r="D983" s="10"/>
    </row>
    <row r="984">
      <c r="C984" s="10"/>
      <c r="D984" s="10"/>
    </row>
    <row r="985">
      <c r="C985" s="10"/>
      <c r="D985" s="10"/>
    </row>
    <row r="986">
      <c r="C986" s="10"/>
      <c r="D986" s="10"/>
    </row>
    <row r="987">
      <c r="C987" s="10"/>
      <c r="D987" s="10"/>
    </row>
    <row r="988">
      <c r="C988" s="10"/>
      <c r="D988" s="10"/>
    </row>
    <row r="989">
      <c r="C989" s="10"/>
      <c r="D989" s="10"/>
    </row>
    <row r="990">
      <c r="C990" s="10"/>
      <c r="D990" s="10"/>
    </row>
    <row r="991">
      <c r="C991" s="10"/>
      <c r="D991" s="10"/>
    </row>
    <row r="992">
      <c r="C992" s="10"/>
      <c r="D992" s="10"/>
    </row>
    <row r="993">
      <c r="C993" s="10"/>
      <c r="D993" s="10"/>
    </row>
    <row r="994">
      <c r="C994" s="10"/>
      <c r="D994" s="10"/>
    </row>
    <row r="995">
      <c r="C995" s="10"/>
      <c r="D995" s="10"/>
    </row>
    <row r="996">
      <c r="C996" s="10"/>
      <c r="D996" s="10"/>
    </row>
    <row r="997">
      <c r="C997" s="10"/>
      <c r="D997" s="10"/>
    </row>
    <row r="998">
      <c r="C998" s="10"/>
      <c r="D998" s="10"/>
    </row>
    <row r="999">
      <c r="C999" s="10"/>
      <c r="D999" s="10"/>
    </row>
    <row r="1000">
      <c r="C1000" s="10"/>
      <c r="D1000" s="10"/>
    </row>
    <row r="1001">
      <c r="C1001" s="10"/>
      <c r="D1001" s="10"/>
    </row>
    <row r="1002">
      <c r="C1002" s="10"/>
      <c r="D1002" s="10"/>
    </row>
    <row r="1003">
      <c r="C1003" s="10"/>
      <c r="D1003" s="10"/>
    </row>
    <row r="1004">
      <c r="C1004" s="10"/>
      <c r="D1004" s="10"/>
    </row>
    <row r="1005">
      <c r="C1005" s="10"/>
      <c r="D1005" s="10"/>
    </row>
    <row r="1006">
      <c r="C1006" s="10"/>
      <c r="D1006" s="10"/>
    </row>
    <row r="1007">
      <c r="C1007" s="10"/>
      <c r="D1007" s="10"/>
    </row>
    <row r="1008">
      <c r="C1008" s="10"/>
      <c r="D1008" s="10"/>
    </row>
    <row r="1009">
      <c r="C1009" s="10"/>
      <c r="D1009" s="10"/>
    </row>
    <row r="1010">
      <c r="C1010" s="10"/>
      <c r="D1010" s="10"/>
    </row>
    <row r="1011">
      <c r="C1011" s="10"/>
      <c r="D1011" s="10"/>
    </row>
    <row r="1012">
      <c r="C1012" s="10"/>
      <c r="D1012" s="10"/>
    </row>
    <row r="1013">
      <c r="C1013" s="10"/>
      <c r="D1013" s="10"/>
    </row>
    <row r="1014">
      <c r="C1014" s="10"/>
      <c r="D1014" s="10"/>
    </row>
    <row r="1015">
      <c r="C1015" s="10"/>
      <c r="D1015" s="10"/>
    </row>
    <row r="1016">
      <c r="C1016" s="10"/>
      <c r="D1016" s="10"/>
    </row>
    <row r="1017">
      <c r="C1017" s="10"/>
      <c r="D1017" s="10"/>
    </row>
    <row r="1018">
      <c r="C1018" s="10"/>
      <c r="D1018" s="10"/>
    </row>
    <row r="1019">
      <c r="C1019" s="10"/>
      <c r="D1019" s="10"/>
    </row>
    <row r="1020">
      <c r="C1020" s="10"/>
      <c r="D1020" s="10"/>
    </row>
    <row r="1021">
      <c r="C1021" s="10"/>
      <c r="D1021" s="10"/>
    </row>
    <row r="1022">
      <c r="C1022" s="10"/>
      <c r="D1022" s="10"/>
    </row>
    <row r="1023">
      <c r="C1023" s="10"/>
      <c r="D1023" s="10"/>
    </row>
    <row r="1024">
      <c r="C1024" s="10"/>
      <c r="D1024" s="10"/>
    </row>
    <row r="1025">
      <c r="C1025" s="10"/>
      <c r="D1025" s="10"/>
    </row>
    <row r="1026">
      <c r="C1026" s="10"/>
      <c r="D1026" s="10"/>
    </row>
    <row r="1027">
      <c r="C1027" s="10"/>
      <c r="D1027" s="10"/>
    </row>
    <row r="1028">
      <c r="C1028" s="10"/>
      <c r="D1028" s="10"/>
    </row>
    <row r="1029">
      <c r="C1029" s="10"/>
      <c r="D1029" s="10"/>
    </row>
    <row r="1030">
      <c r="C1030" s="10"/>
      <c r="D1030" s="10"/>
    </row>
    <row r="1031">
      <c r="C1031" s="10"/>
      <c r="D1031" s="10"/>
    </row>
    <row r="1032">
      <c r="C1032" s="10"/>
      <c r="D1032" s="10"/>
    </row>
    <row r="1033">
      <c r="C1033" s="10"/>
      <c r="D1033" s="10"/>
    </row>
    <row r="1034">
      <c r="C1034" s="10"/>
      <c r="D1034" s="10"/>
    </row>
    <row r="1035">
      <c r="C1035" s="10"/>
      <c r="D1035" s="10"/>
    </row>
    <row r="1036">
      <c r="C1036" s="10"/>
      <c r="D1036" s="10"/>
    </row>
    <row r="1037">
      <c r="C1037" s="10"/>
      <c r="D1037" s="10"/>
    </row>
    <row r="1038">
      <c r="C1038" s="10"/>
      <c r="D1038" s="10"/>
    </row>
    <row r="1039">
      <c r="C1039" s="10"/>
      <c r="D1039" s="10"/>
    </row>
    <row r="1040">
      <c r="C1040" s="10"/>
      <c r="D1040" s="10"/>
    </row>
    <row r="1041">
      <c r="C1041" s="10"/>
      <c r="D1041" s="10"/>
    </row>
    <row r="1042">
      <c r="C1042" s="10"/>
      <c r="D1042" s="10"/>
    </row>
    <row r="1043">
      <c r="C1043" s="10"/>
      <c r="D1043" s="10"/>
    </row>
    <row r="1044">
      <c r="C1044" s="10"/>
      <c r="D1044" s="10"/>
    </row>
    <row r="1045">
      <c r="C1045" s="10"/>
      <c r="D1045" s="10"/>
    </row>
    <row r="1046">
      <c r="C1046" s="10"/>
      <c r="D1046" s="10"/>
    </row>
    <row r="1047">
      <c r="C1047" s="10"/>
      <c r="D1047" s="10"/>
    </row>
    <row r="1048">
      <c r="C1048" s="10"/>
      <c r="D1048" s="10"/>
    </row>
    <row r="1049">
      <c r="C1049" s="10"/>
      <c r="D1049" s="10"/>
    </row>
    <row r="1050">
      <c r="C1050" s="10"/>
      <c r="D1050" s="10"/>
    </row>
    <row r="1051">
      <c r="C1051" s="10"/>
      <c r="D1051" s="10"/>
    </row>
    <row r="1052">
      <c r="C1052" s="10"/>
      <c r="D1052" s="10"/>
    </row>
    <row r="1053">
      <c r="C1053" s="10"/>
      <c r="D1053" s="10"/>
    </row>
    <row r="1054">
      <c r="C1054" s="10"/>
      <c r="D1054" s="10"/>
    </row>
    <row r="1055">
      <c r="C1055" s="10"/>
      <c r="D1055" s="10"/>
    </row>
  </sheetData>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5.0"/>
  </cols>
  <sheetData>
    <row r="1">
      <c r="A1" s="1" t="str">
        <f>IFERROR(__xludf.DUMMYFUNCTION("IMPORTRANGE(""https://docs.google.com/spreadsheets/d/1S_0lT44HGEWlB04mFB6AWco5YkK0f_bFbQjRZFJ-JgI/edit#gid=1360085164"", ""CONTRATOS VIGENTES!A4:O200"")"),"")</f>
        <v/>
      </c>
      <c r="B1" s="1" t="str">
        <f>IFERROR(__xludf.DUMMYFUNCTION("""COMPUTED_VALUE"""),"Nº CONTRATO")</f>
        <v>Nº CONTRATO</v>
      </c>
      <c r="C1" s="1" t="str">
        <f>IFERROR(__xludf.DUMMYFUNCTION("""COMPUTED_VALUE"""),"Nº CONTRATO SIGADOC ")</f>
        <v>Nº CONTRATO SIGADOC </v>
      </c>
      <c r="D1" s="1" t="str">
        <f>IFERROR(__xludf.DUMMYFUNCTION("""COMPUTED_VALUE"""),"CONTRATADA")</f>
        <v>CONTRATADA</v>
      </c>
      <c r="E1" s="1" t="str">
        <f>IFERROR(__xludf.DUMMYFUNCTION("""COMPUTED_VALUE"""),"OBJETO DO CONTRATO")</f>
        <v>OBJETO DO CONTRATO</v>
      </c>
      <c r="F1" s="1" t="str">
        <f>IFERROR(__xludf.DUMMYFUNCTION("""COMPUTED_VALUE"""),"VIGÊNCIA")</f>
        <v>VIGÊNCIA</v>
      </c>
      <c r="G1" s="11" t="str">
        <f>IFERROR(__xludf.DUMMYFUNCTION("""COMPUTED_VALUE"""),"ELEMENTO DE DESPESA")</f>
        <v>ELEMENTO DE DESPESA</v>
      </c>
      <c r="H1" s="1" t="str">
        <f>IFERROR(__xludf.DUMMYFUNCTION("""COMPUTED_VALUE"""),"VALOR TOTAL DO CONTRATO (A)")</f>
        <v>VALOR TOTAL DO CONTRATO (A)</v>
      </c>
      <c r="I1" s="1" t="str">
        <f>IFERROR(__xludf.DUMMYFUNCTION("""COMPUTED_VALUE"""),"VALOR MENSAL ")</f>
        <v>VALOR MENSAL </v>
      </c>
      <c r="J1" s="1" t="str">
        <f>IFERROR(__xludf.DUMMYFUNCTION("""COMPUTED_VALUE"""),"ADITIVO ")</f>
        <v>ADITIVO </v>
      </c>
      <c r="K1" s="5" t="str">
        <f>IFERROR(__xludf.DUMMYFUNCTION("""COMPUTED_VALUE"""),"SALDO ATUAL DO CONTRATO")</f>
        <v>SALDO ATUAL DO CONTRATO</v>
      </c>
      <c r="L1" s="1" t="str">
        <f>IFERROR(__xludf.DUMMYFUNCTION("""COMPUTED_VALUE"""),"REPRESENTANTE")</f>
        <v>REPRESENTANTE</v>
      </c>
      <c r="M1" s="1" t="str">
        <f>IFERROR(__xludf.DUMMYFUNCTION("""COMPUTED_VALUE"""),"DEMANDANTE")</f>
        <v>DEMANDANTE</v>
      </c>
      <c r="N1" s="1"/>
      <c r="O1" s="1"/>
    </row>
    <row r="2">
      <c r="A2" s="1">
        <f>IFERROR(__xludf.DUMMYFUNCTION("""COMPUTED_VALUE"""),1.0)</f>
        <v>1</v>
      </c>
      <c r="B2" s="1"/>
      <c r="C2" s="1"/>
      <c r="D2" s="1"/>
      <c r="E2" s="1"/>
      <c r="F2" s="1"/>
      <c r="G2" s="1"/>
      <c r="H2" s="1"/>
      <c r="I2" s="1"/>
      <c r="J2" s="1"/>
      <c r="K2" s="1"/>
      <c r="L2" s="1"/>
      <c r="M2" s="1"/>
      <c r="N2" s="1"/>
      <c r="O2" s="1"/>
    </row>
    <row r="3">
      <c r="A3" s="1">
        <f>IFERROR(__xludf.DUMMYFUNCTION("""COMPUTED_VALUE"""),2.0)</f>
        <v>2</v>
      </c>
      <c r="B3" s="1"/>
      <c r="C3" s="1"/>
      <c r="D3" s="1"/>
      <c r="E3" s="1"/>
      <c r="F3" s="1"/>
      <c r="G3" s="1"/>
      <c r="H3" s="1"/>
      <c r="I3" s="1"/>
      <c r="J3" s="1"/>
      <c r="K3" s="1"/>
      <c r="L3" s="1"/>
      <c r="M3" s="1"/>
      <c r="N3" s="1"/>
      <c r="O3" s="1"/>
    </row>
    <row r="4">
      <c r="A4" s="1">
        <f>IFERROR(__xludf.DUMMYFUNCTION("""COMPUTED_VALUE"""),3.0)</f>
        <v>3</v>
      </c>
      <c r="B4" s="1" t="str">
        <f>IFERROR(__xludf.DUMMYFUNCTION("""COMPUTED_VALUE"""),"057/2025")</f>
        <v>057/2025</v>
      </c>
      <c r="C4" s="1" t="str">
        <f>IFERROR(__xludf.DUMMYFUNCTION("""COMPUTED_VALUE"""),"SETASC-PRO-2025/12219")</f>
        <v>SETASC-PRO-2025/12219</v>
      </c>
      <c r="D4" s="1" t="str">
        <f>IFERROR(__xludf.DUMMYFUNCTION("""COMPUTED_VALUE"""),"NP TECNOLOGIA E GESTÃO DE DADOS LTDA")</f>
        <v>NP TECNOLOGIA E GESTÃO DE DADOS LTDA</v>
      </c>
      <c r="E4" s="1" t="str">
        <f>IFERROR(__xludf.DUMMYFUNCTION("""COMPUTED_VALUE"""),"O objeto do presente instrumento refere-se à Contratação da empresa especializada para a disponibilização de assinatura da ferramenta de pesquisa Banco de Preços -sistema inteligente de pesquisa de preços, baseado em resultado de licitações adjudicadas e "&amp;"homologadas em todo o território brasileiro., por intermédio da Secretaria de Estado de Assistência Social e Cidadania – SETASC/MT, conforme as condições estabelecidas no Termo de Referência. ")</f>
        <v>O objeto do presente instrumento refere-se à Contratação da empresa especializada para a disponibilização de assinatura da ferramenta de pesquisa Banco de Preços -sistema inteligente de pesquisa de preços, baseado em resultado de licitações adjudicadas e homologadas em todo o território brasileiro., por intermédio da Secretaria de Estado de Assistência Social e Cidadania – SETASC/MT, conforme as condições estabelecidas no Termo de Referência. </v>
      </c>
      <c r="F4" s="1" t="str">
        <f>IFERROR(__xludf.DUMMYFUNCTION("""COMPUTED_VALUE"""),"30/09/2025 a 29/09/2027")</f>
        <v>30/09/2025 a 29/09/2027</v>
      </c>
      <c r="G4" s="1">
        <f>IFERROR(__xludf.DUMMYFUNCTION("""COMPUTED_VALUE"""),39.0)</f>
        <v>39</v>
      </c>
      <c r="H4" s="5">
        <f>IFERROR(__xludf.DUMMYFUNCTION("""COMPUTED_VALUE"""),22000.0)</f>
        <v>22000</v>
      </c>
      <c r="I4" s="5" t="str">
        <f>IFERROR(__xludf.DUMMYFUNCTION("""COMPUTED_VALUE"""),"DEMANDA")</f>
        <v>DEMANDA</v>
      </c>
      <c r="J4" s="1" t="str">
        <f>IFERROR(__xludf.DUMMYFUNCTION("""COMPUTED_VALUE"""),"NÃO")</f>
        <v>NÃO</v>
      </c>
      <c r="K4" s="5">
        <f>IFERROR(__xludf.DUMMYFUNCTION("""COMPUTED_VALUE"""),22000.0)</f>
        <v>22000</v>
      </c>
      <c r="L4" s="1" t="str">
        <f>IFERROR(__xludf.DUMMYFUNCTION("""COMPUTED_VALUE"""),"NP TECNOLOGIA E GESTÃO DE DADOS LTDA")</f>
        <v>NP TECNOLOGIA E GESTÃO DE DADOS LTDA</v>
      </c>
      <c r="M4" s="1" t="str">
        <f>IFERROR(__xludf.DUMMYFUNCTION("""COMPUTED_VALUE"""),"COORDENADORIA DE AQUISIÇÕES")</f>
        <v>COORDENADORIA DE AQUISIÇÕES</v>
      </c>
      <c r="N4" s="1"/>
      <c r="O4" s="1"/>
    </row>
    <row r="5">
      <c r="A5" s="1">
        <f>IFERROR(__xludf.DUMMYFUNCTION("""COMPUTED_VALUE"""),4.0)</f>
        <v>4</v>
      </c>
      <c r="B5" s="1" t="str">
        <f>IFERROR(__xludf.DUMMYFUNCTION("""COMPUTED_VALUE"""),"056/2025")</f>
        <v>056/2025</v>
      </c>
      <c r="C5" s="1" t="str">
        <f>IFERROR(__xludf.DUMMYFUNCTION("""COMPUTED_VALUE"""),"SETASC-2025/13082")</f>
        <v>SETASC-2025/13082</v>
      </c>
      <c r="D5" s="1" t="str">
        <f>IFERROR(__xludf.DUMMYFUNCTION("""COMPUTED_VALUE"""),"BNP SOLUÇÕES INTEGRADAS LTDA")</f>
        <v>BNP SOLUÇÕES INTEGRADAS LTDA</v>
      </c>
      <c r="E5" s="1" t="str">
        <f>IFERROR(__xludf.DUMMYFUNCTION("""COMPUTED_VALUE"""),"O objeto do presente instrumento refere-se Aquisição de uniformes, tênis, mochilas e estojos para atender o programa Ser Família Criança Contraturno. ")</f>
        <v>O objeto do presente instrumento refere-se Aquisição de uniformes, tênis, mochilas e estojos para atender o programa Ser Família Criança Contraturno. </v>
      </c>
      <c r="F5" s="1"/>
      <c r="G5" s="1">
        <f>IFERROR(__xludf.DUMMYFUNCTION("""COMPUTED_VALUE"""),30.0)</f>
        <v>30</v>
      </c>
      <c r="H5" s="5">
        <f>IFERROR(__xludf.DUMMYFUNCTION("""COMPUTED_VALUE"""),54699.0)</f>
        <v>54699</v>
      </c>
      <c r="I5" s="5" t="str">
        <f>IFERROR(__xludf.DUMMYFUNCTION("""COMPUTED_VALUE"""),"DEMANDA")</f>
        <v>DEMANDA</v>
      </c>
      <c r="J5" s="1" t="str">
        <f>IFERROR(__xludf.DUMMYFUNCTION("""COMPUTED_VALUE"""),"NÃO")</f>
        <v>NÃO</v>
      </c>
      <c r="K5" s="5">
        <f>IFERROR(__xludf.DUMMYFUNCTION("""COMPUTED_VALUE"""),54699.0)</f>
        <v>54699</v>
      </c>
      <c r="L5" s="1" t="str">
        <f>IFERROR(__xludf.DUMMYFUNCTION("""COMPUTED_VALUE"""),"PRISCILA RIBEIRO COELHO")</f>
        <v>PRISCILA RIBEIRO COELHO</v>
      </c>
      <c r="M5" s="1" t="str">
        <f>IFERROR(__xludf.DUMMYFUNCTION("""COMPUTED_VALUE"""),"SECRETARIA ADJUNTA DE PROGRMAS E PROJETOS ESPECIAIS DE ATENÇÃO À FAMILIA – SAPPEAF")</f>
        <v>SECRETARIA ADJUNTA DE PROGRMAS E PROJETOS ESPECIAIS DE ATENÇÃO À FAMILIA – SAPPEAF</v>
      </c>
      <c r="N5" s="1"/>
      <c r="O5" s="1"/>
    </row>
    <row r="6">
      <c r="A6" s="1">
        <f>IFERROR(__xludf.DUMMYFUNCTION("""COMPUTED_VALUE"""),5.0)</f>
        <v>5</v>
      </c>
      <c r="B6" s="1" t="str">
        <f>IFERROR(__xludf.DUMMYFUNCTION("""COMPUTED_VALUE"""),"055/2025")</f>
        <v>055/2025</v>
      </c>
      <c r="C6" s="1" t="str">
        <f>IFERROR(__xludf.DUMMYFUNCTION("""COMPUTED_VALUE"""),"SETASC-PRO-2025/13137")</f>
        <v>SETASC-PRO-2025/13137</v>
      </c>
      <c r="D6" s="1" t="str">
        <f>IFERROR(__xludf.DUMMYFUNCTION("""COMPUTED_VALUE"""),"FIBRATEX COMERCIAL LTDA")</f>
        <v>FIBRATEX COMERCIAL LTDA</v>
      </c>
      <c r="E6" s="1" t="str">
        <f>IFERROR(__xludf.DUMMYFUNCTION("""COMPUTED_VALUE"""),"O objeto do presente instrumento refere-se Aquisição de uniformes, tênis, mochilas e estojos para atender o programa Ser Família Criança Contraturno.")</f>
        <v>O objeto do presente instrumento refere-se Aquisição de uniformes, tênis, mochilas e estojos para atender o programa Ser Família Criança Contraturno.</v>
      </c>
      <c r="F6" s="1"/>
      <c r="G6" s="1"/>
      <c r="H6" s="5">
        <f>IFERROR(__xludf.DUMMYFUNCTION("""COMPUTED_VALUE"""),490263.0)</f>
        <v>490263</v>
      </c>
      <c r="I6" s="5" t="str">
        <f>IFERROR(__xludf.DUMMYFUNCTION("""COMPUTED_VALUE"""),"DEMANDA")</f>
        <v>DEMANDA</v>
      </c>
      <c r="J6" s="1" t="str">
        <f>IFERROR(__xludf.DUMMYFUNCTION("""COMPUTED_VALUE"""),"NÃO")</f>
        <v>NÃO</v>
      </c>
      <c r="K6" s="5">
        <f>IFERROR(__xludf.DUMMYFUNCTION("""COMPUTED_VALUE"""),490263.0)</f>
        <v>490263</v>
      </c>
      <c r="L6" s="1" t="str">
        <f>IFERROR(__xludf.DUMMYFUNCTION("""COMPUTED_VALUE"""),"FABIANE SALETE DA ROSA SANTOS")</f>
        <v>FABIANE SALETE DA ROSA SANTOS</v>
      </c>
      <c r="M6" s="1" t="str">
        <f>IFERROR(__xludf.DUMMYFUNCTION("""COMPUTED_VALUE"""),"SECRETARIA ADJUNTA DE PROGRMAS E PROJETOS ESPECIAIS DE ATENÇÃO À FAMILIA – SAPPEAF")</f>
        <v>SECRETARIA ADJUNTA DE PROGRMAS E PROJETOS ESPECIAIS DE ATENÇÃO À FAMILIA – SAPPEAF</v>
      </c>
      <c r="N6" s="1"/>
      <c r="O6" s="1"/>
    </row>
    <row r="7">
      <c r="A7" s="1">
        <f>IFERROR(__xludf.DUMMYFUNCTION("""COMPUTED_VALUE"""),6.0)</f>
        <v>6</v>
      </c>
      <c r="B7" s="1" t="str">
        <f>IFERROR(__xludf.DUMMYFUNCTION("""COMPUTED_VALUE"""),"054/2025")</f>
        <v>054/2025</v>
      </c>
      <c r="C7" s="1" t="str">
        <f>IFERROR(__xludf.DUMMYFUNCTION("""COMPUTED_VALUE"""),"SETASC-PRO-2025/13046")</f>
        <v>SETASC-PRO-2025/13046</v>
      </c>
      <c r="D7" s="1" t="str">
        <f>IFERROR(__xludf.DUMMYFUNCTION("""COMPUTED_VALUE"""),"BELA VISTA TEXTIL LTDA")</f>
        <v>BELA VISTA TEXTIL LTDA</v>
      </c>
      <c r="E7" s="1" t="str">
        <f>IFERROR(__xludf.DUMMYFUNCTION("""COMPUTED_VALUE"""),"O objeto do presente instrumento refere-se Aquisição de uniformes, tênis, mochilas e estojos para atender o programa Ser Família Criança Contraturno. ")</f>
        <v>O objeto do presente instrumento refere-se Aquisição de uniformes, tênis, mochilas e estojos para atender o programa Ser Família Criança Contraturno. </v>
      </c>
      <c r="F7" s="1"/>
      <c r="G7" s="1"/>
      <c r="H7" s="5">
        <f>IFERROR(__xludf.DUMMYFUNCTION("""COMPUTED_VALUE"""),238040.0)</f>
        <v>238040</v>
      </c>
      <c r="I7" s="5" t="str">
        <f>IFERROR(__xludf.DUMMYFUNCTION("""COMPUTED_VALUE"""),"DEMANDA")</f>
        <v>DEMANDA</v>
      </c>
      <c r="J7" s="1" t="str">
        <f>IFERROR(__xludf.DUMMYFUNCTION("""COMPUTED_VALUE"""),"NÃO")</f>
        <v>NÃO</v>
      </c>
      <c r="K7" s="5">
        <f>IFERROR(__xludf.DUMMYFUNCTION("""COMPUTED_VALUE"""),238040.0)</f>
        <v>238040</v>
      </c>
      <c r="L7" s="1" t="str">
        <f>IFERROR(__xludf.DUMMYFUNCTION("""COMPUTED_VALUE"""),"WILLIAM DE JESUS DOS SANTOS")</f>
        <v>WILLIAM DE JESUS DOS SANTOS</v>
      </c>
      <c r="M7" s="1" t="str">
        <f>IFERROR(__xludf.DUMMYFUNCTION("""COMPUTED_VALUE"""),"SECRETARIA ADJUNTA DE PROGRMAS E PROJETOS ESPECIAIS DE ATENÇÃO À FAMILIA – SAPPEAF")</f>
        <v>SECRETARIA ADJUNTA DE PROGRMAS E PROJETOS ESPECIAIS DE ATENÇÃO À FAMILIA – SAPPEAF</v>
      </c>
      <c r="N7" s="1"/>
      <c r="O7" s="1"/>
    </row>
    <row r="8">
      <c r="A8" s="1">
        <f>IFERROR(__xludf.DUMMYFUNCTION("""COMPUTED_VALUE"""),7.0)</f>
        <v>7</v>
      </c>
      <c r="B8" s="1" t="str">
        <f>IFERROR(__xludf.DUMMYFUNCTION("""COMPUTED_VALUE"""),"053/2025")</f>
        <v>053/2025</v>
      </c>
      <c r="C8" s="1" t="str">
        <f>IFERROR(__xludf.DUMMYFUNCTION("""COMPUTED_VALUE"""),"SETASC-2025/12964")</f>
        <v>SETASC-2025/12964</v>
      </c>
      <c r="D8" s="1" t="str">
        <f>IFERROR(__xludf.DUMMYFUNCTION("""COMPUTED_VALUE"""),"HLJ NEGOCIOS LTDA")</f>
        <v>HLJ NEGOCIOS LTDA</v>
      </c>
      <c r="E8" s="1" t="str">
        <f>IFERROR(__xludf.DUMMYFUNCTION("""COMPUTED_VALUE"""),"O objeto do presente instrumento é a Aquisição de uniformes, tênis, mochilas e estojos para atender o programa Ser Família Criança Contraturno, por intermédio da Secretaria de Estado de Assistência 
Social e Cidadania - SETASC/MT, conforme as condições e "&amp;"exigências estabelecidas no Termo de Referência.")</f>
        <v>O objeto do presente instrumento é a Aquisição de uniformes, tênis, mochilas e estojos para atender o programa Ser Família Criança Contraturno, por intermédio da Secretaria de Estado de Assistência 
Social e Cidadania - SETASC/MT, conforme as condições e exigências estabelecidas no Termo de Referência.</v>
      </c>
      <c r="F8" s="1" t="str">
        <f>IFERROR(__xludf.DUMMYFUNCTION("""COMPUTED_VALUE"""),"02/10/2025 a 01/10/2027")</f>
        <v>02/10/2025 a 01/10/2027</v>
      </c>
      <c r="G8" s="1"/>
      <c r="H8" s="5">
        <f>IFERROR(__xludf.DUMMYFUNCTION("""COMPUTED_VALUE"""),254992.0)</f>
        <v>254992</v>
      </c>
      <c r="I8" s="5" t="str">
        <f>IFERROR(__xludf.DUMMYFUNCTION("""COMPUTED_VALUE"""),"DEMANDA")</f>
        <v>DEMANDA</v>
      </c>
      <c r="J8" s="1" t="str">
        <f>IFERROR(__xludf.DUMMYFUNCTION("""COMPUTED_VALUE"""),"NÃO")</f>
        <v>NÃO</v>
      </c>
      <c r="K8" s="5">
        <f>IFERROR(__xludf.DUMMYFUNCTION("""COMPUTED_VALUE"""),254992.0)</f>
        <v>254992</v>
      </c>
      <c r="L8" s="1" t="str">
        <f>IFERROR(__xludf.DUMMYFUNCTION("""COMPUTED_VALUE"""),"VILMA APARECIDA LOURENÇO")</f>
        <v>VILMA APARECIDA LOURENÇO</v>
      </c>
      <c r="M8" s="1" t="str">
        <f>IFERROR(__xludf.DUMMYFUNCTION("""COMPUTED_VALUE"""),"SECRETARIA ADJUNTA DE PROGRMAS E PROJETOS ESPECIAIS DE ATENÇÃO À FAMILIA – SAPPEAF")</f>
        <v>SECRETARIA ADJUNTA DE PROGRMAS E PROJETOS ESPECIAIS DE ATENÇÃO À FAMILIA – SAPPEAF</v>
      </c>
      <c r="N8" s="1"/>
      <c r="O8" s="1"/>
    </row>
    <row r="9">
      <c r="A9" s="1">
        <f>IFERROR(__xludf.DUMMYFUNCTION("""COMPUTED_VALUE"""),8.0)</f>
        <v>8</v>
      </c>
      <c r="B9" s="1" t="str">
        <f>IFERROR(__xludf.DUMMYFUNCTION("""COMPUTED_VALUE"""),"052/2025")</f>
        <v>052/2025</v>
      </c>
      <c r="C9" s="1" t="str">
        <f>IFERROR(__xludf.DUMMYFUNCTION("""COMPUTED_VALUE"""),"SETASC-PRO-2025/12890")</f>
        <v>SETASC-PRO-2025/12890</v>
      </c>
      <c r="D9" s="1" t="str">
        <f>IFERROR(__xludf.DUMMYFUNCTION("""COMPUTED_VALUE"""),"G&amp;L INDÚSTRIA E COMÉRCIO LTDA - EPP")</f>
        <v>G&amp;L INDÚSTRIA E COMÉRCIO LTDA - EPP</v>
      </c>
      <c r="E9" s="1" t="str">
        <f>IFERROR(__xludf.DUMMYFUNCTION("""COMPUTED_VALUE"""),"O objeto do presente instrumento é a Aquisição de uniformes, tênis, mochilas e estojos para atender o programa Ser Família Criança 
Contraturno, por intermédio da Secretaria de Estado de Assistência Social e Cidadania - SETASC/MT.")</f>
        <v>O objeto do presente instrumento é a Aquisição de uniformes, tênis, mochilas e estojos para atender o programa Ser Família Criança 
Contraturno, por intermédio da Secretaria de Estado de Assistência Social e Cidadania - SETASC/MT.</v>
      </c>
      <c r="F9" s="1" t="str">
        <f>IFERROR(__xludf.DUMMYFUNCTION("""COMPUTED_VALUE"""),"01/10/2025 a 30/09/2025")</f>
        <v>01/10/2025 a 30/09/2025</v>
      </c>
      <c r="G9" s="1"/>
      <c r="H9" s="5">
        <f>IFERROR(__xludf.DUMMYFUNCTION("""COMPUTED_VALUE"""),986900.0)</f>
        <v>986900</v>
      </c>
      <c r="I9" s="5" t="str">
        <f>IFERROR(__xludf.DUMMYFUNCTION("""COMPUTED_VALUE"""),"DEMANDA")</f>
        <v>DEMANDA</v>
      </c>
      <c r="J9" s="1" t="str">
        <f>IFERROR(__xludf.DUMMYFUNCTION("""COMPUTED_VALUE"""),"NÃO")</f>
        <v>NÃO</v>
      </c>
      <c r="K9" s="5">
        <f>IFERROR(__xludf.DUMMYFUNCTION("""COMPUTED_VALUE"""),986900.0)</f>
        <v>986900</v>
      </c>
      <c r="L9" s="1" t="str">
        <f>IFERROR(__xludf.DUMMYFUNCTION("""COMPUTED_VALUE"""),"ANTÔNIO BRESCHIGLIARI FILHO e 
TEREZA LONGHINI BRESCHIGLIARI
")</f>
        <v>ANTÔNIO BRESCHIGLIARI FILHO e 
TEREZA LONGHINI BRESCHIGLIARI
</v>
      </c>
      <c r="M9" s="1" t="str">
        <f>IFERROR(__xludf.DUMMYFUNCTION("""COMPUTED_VALUE"""),"SECRETARIA ADJUNTA DE PROGRMAS E PROJETOS ESPECIAIS DE ATENÇÃO À FAMILIA – SAPPEAF")</f>
        <v>SECRETARIA ADJUNTA DE PROGRMAS E PROJETOS ESPECIAIS DE ATENÇÃO À FAMILIA – SAPPEAF</v>
      </c>
      <c r="N9" s="1"/>
      <c r="O9" s="1"/>
    </row>
    <row r="10">
      <c r="A10" s="1">
        <f>IFERROR(__xludf.DUMMYFUNCTION("""COMPUTED_VALUE"""),9.0)</f>
        <v>9</v>
      </c>
      <c r="B10" s="1" t="str">
        <f>IFERROR(__xludf.DUMMYFUNCTION("""COMPUTED_VALUE"""),"051/2025")</f>
        <v>051/2025</v>
      </c>
      <c r="C10" s="1" t="str">
        <f>IFERROR(__xludf.DUMMYFUNCTION("""COMPUTED_VALUE"""),"SETASC-PRO-2025/08187")</f>
        <v>SETASC-PRO-2025/08187</v>
      </c>
      <c r="D10" s="1" t="str">
        <f>IFERROR(__xludf.DUMMYFUNCTION("""COMPUTED_VALUE"""),"IMPERIAL KEYS LTDA")</f>
        <v>IMPERIAL KEYS LTDA</v>
      </c>
      <c r="E10" s="1" t="str">
        <f>IFERROR(__xludf.DUMMYFUNCTION("""COMPUTED_VALUE"""),"O objeto do presente instrumento é a prestação dos serviços de chaveiro, com fornecimento do material para atender as demandas da Secretaria de Estado de Assistência Social e Cidadania – SETASC/MT, nas condições estabelecidas no Termo de Referência.")</f>
        <v>O objeto do presente instrumento é a prestação dos serviços de chaveiro, com fornecimento do material para atender as demandas da Secretaria de Estado de Assistência Social e Cidadania – SETASC/MT, nas condições estabelecidas no Termo de Referência.</v>
      </c>
      <c r="F10" s="1" t="str">
        <f>IFERROR(__xludf.DUMMYFUNCTION("""COMPUTED_VALUE"""),"29/09/2025 a 28/09/2026")</f>
        <v>29/09/2025 a 28/09/2026</v>
      </c>
      <c r="G10" s="1">
        <f>IFERROR(__xludf.DUMMYFUNCTION("""COMPUTED_VALUE"""),30.0)</f>
        <v>30</v>
      </c>
      <c r="H10" s="5">
        <f>IFERROR(__xludf.DUMMYFUNCTION("""COMPUTED_VALUE"""),2477.49)</f>
        <v>2477.49</v>
      </c>
      <c r="I10" s="5" t="str">
        <f>IFERROR(__xludf.DUMMYFUNCTION("""COMPUTED_VALUE"""),"DEMANDA")</f>
        <v>DEMANDA</v>
      </c>
      <c r="J10" s="1" t="str">
        <f>IFERROR(__xludf.DUMMYFUNCTION("""COMPUTED_VALUE"""),"NÃO")</f>
        <v>NÃO</v>
      </c>
      <c r="K10" s="5">
        <f>IFERROR(__xludf.DUMMYFUNCTION("""COMPUTED_VALUE"""),2477.49)</f>
        <v>2477.49</v>
      </c>
      <c r="L10" s="1" t="str">
        <f>IFERROR(__xludf.DUMMYFUNCTION("""COMPUTED_VALUE"""),"OZEIAS DOS SANTOS CORREIA")</f>
        <v>OZEIAS DOS SANTOS CORREIA</v>
      </c>
      <c r="M10" s="1" t="str">
        <f>IFERROR(__xludf.DUMMYFUNCTION("""COMPUTED_VALUE"""),"COORDENADORIA DE APOIO LOGÍSTICO - CAL")</f>
        <v>COORDENADORIA DE APOIO LOGÍSTICO - CAL</v>
      </c>
      <c r="N10" s="1"/>
      <c r="O10" s="1"/>
    </row>
    <row r="11">
      <c r="A11" s="1">
        <f>IFERROR(__xludf.DUMMYFUNCTION("""COMPUTED_VALUE"""),10.0)</f>
        <v>10</v>
      </c>
      <c r="B11" s="1" t="str">
        <f>IFERROR(__xludf.DUMMYFUNCTION("""COMPUTED_VALUE"""),"050/2025")</f>
        <v>050/2025</v>
      </c>
      <c r="C11" s="1" t="str">
        <f>IFERROR(__xludf.DUMMYFUNCTION("""COMPUTED_VALUE"""),"SETASC-PRO-2025/11700")</f>
        <v>SETASC-PRO-2025/11700</v>
      </c>
      <c r="D11" s="1" t="str">
        <f>IFERROR(__xludf.DUMMYFUNCTION("""COMPUTED_VALUE"""),"UGOLINI CAMPOS LTDA")</f>
        <v>UGOLINI CAMPOS LTDA</v>
      </c>
      <c r="E11" s="1" t="str">
        <f>IFERROR(__xludf.DUMMYFUNCTION("""COMPUTED_VALUE"""),"O objeto do presente instrumento refere-se à contratação de empresa especializada para o fornecimento de água mineral natural e vasilhames de acondicionamento, para atender às demandas dos Órgãos/Entidades do Poder Executivo Estadual, no âmbito de Cuiabá "&amp;"e Várzea Grande, nas condições estabelecidas no Termo de Referência, que deriva da adesão à Ata de Registro de Preços nº 004/2024/SEPLAG, decorrente do Pregão Eletrônico nº 003/2024/SEPLAG, em conformidade com o Termo de Referência apresentado e demais an"&amp;"exos, independente de transcrição.")</f>
        <v>O objeto do presente instrumento refere-se à contratação de empresa especializada para o fornecimento de água mineral natural e vasilhames de acondicionamento, para atender às demandas dos Órgãos/Entidades do Poder Executivo Estadual, no âmbito de Cuiabá e Várzea Grande, nas condições estabelecidas no Termo de Referência, que deriva da adesão à Ata de Registro de Preços nº 004/2024/SEPLAG, decorrente do Pregão Eletrônico nº 003/2024/SEPLAG, em conformidade com o Termo de Referência apresentado e demais anexos, independente de transcrição.</v>
      </c>
      <c r="F11" s="1" t="str">
        <f>IFERROR(__xludf.DUMMYFUNCTION("""COMPUTED_VALUE"""),"23/09/2025 a 22/09/2026")</f>
        <v>23/09/2025 a 22/09/2026</v>
      </c>
      <c r="G11" s="1">
        <f>IFERROR(__xludf.DUMMYFUNCTION("""COMPUTED_VALUE"""),30.0)</f>
        <v>30</v>
      </c>
      <c r="H11" s="5">
        <f>IFERROR(__xludf.DUMMYFUNCTION("""COMPUTED_VALUE"""),365400.0)</f>
        <v>365400</v>
      </c>
      <c r="I11" s="5" t="str">
        <f>IFERROR(__xludf.DUMMYFUNCTION("""COMPUTED_VALUE"""),"DEMANDA")</f>
        <v>DEMANDA</v>
      </c>
      <c r="J11" s="1" t="str">
        <f>IFERROR(__xludf.DUMMYFUNCTION("""COMPUTED_VALUE"""),"NÃO")</f>
        <v>NÃO</v>
      </c>
      <c r="K11" s="5">
        <f>IFERROR(__xludf.DUMMYFUNCTION("""COMPUTED_VALUE"""),365400.0)</f>
        <v>365400</v>
      </c>
      <c r="L11" s="1" t="str">
        <f>IFERROR(__xludf.DUMMYFUNCTION("""COMPUTED_VALUE"""),"SAMANTHA RODRIGUES CAMPOS UGOLINI")</f>
        <v>SAMANTHA RODRIGUES CAMPOS UGOLINI</v>
      </c>
      <c r="M11" s="1" t="str">
        <f>IFERROR(__xludf.DUMMYFUNCTION("""COMPUTED_VALUE"""),"COORDENADORIA DE PATRIMÔNIO ")</f>
        <v>COORDENADORIA DE PATRIMÔNIO </v>
      </c>
      <c r="N11" s="1"/>
      <c r="O11" s="1"/>
    </row>
    <row r="12">
      <c r="A12" s="1">
        <f>IFERROR(__xludf.DUMMYFUNCTION("""COMPUTED_VALUE"""),11.0)</f>
        <v>11</v>
      </c>
      <c r="B12" s="1" t="str">
        <f>IFERROR(__xludf.DUMMYFUNCTION("""COMPUTED_VALUE"""),"049/2025")</f>
        <v>049/2025</v>
      </c>
      <c r="C12" s="1" t="str">
        <f>IFERROR(__xludf.DUMMYFUNCTION("""COMPUTED_VALUE"""),"SETASC-PRO-2025/12357")</f>
        <v>SETASC-PRO-2025/12357</v>
      </c>
      <c r="D12" s="1" t="str">
        <f>IFERROR(__xludf.DUMMYFUNCTION("""COMPUTED_VALUE"""),"ATIVA LOCAÇÃO LTDA")</f>
        <v>ATIVA LOCAÇÃO LTDA</v>
      </c>
      <c r="E12" s="1" t="str">
        <f>IFERROR(__xludf.DUMMYFUNCTION("""COMPUTED_VALUE""")," O objeto do presente instrumento refere-se à contratação de empresa especializada na prestação de serviços para eventos, incluindo 
banheiros químicos, para atender as demandas da SACIS.")</f>
        <v> O objeto do presente instrumento refere-se à contratação de empresa especializada na prestação de serviços para eventos, incluindo 
banheiros químicos, para atender as demandas da SACIS.</v>
      </c>
      <c r="F12" s="1" t="str">
        <f>IFERROR(__xludf.DUMMYFUNCTION("""COMPUTED_VALUE"""),"18/09/2025 a 17/09/2026")</f>
        <v>18/09/2025 a 17/09/2026</v>
      </c>
      <c r="G12" s="1">
        <f>IFERROR(__xludf.DUMMYFUNCTION("""COMPUTED_VALUE"""),39.0)</f>
        <v>39</v>
      </c>
      <c r="H12" s="5">
        <f>IFERROR(__xludf.DUMMYFUNCTION("""COMPUTED_VALUE"""),124497.48)</f>
        <v>124497.48</v>
      </c>
      <c r="I12" s="5" t="str">
        <f>IFERROR(__xludf.DUMMYFUNCTION("""COMPUTED_VALUE"""),"DEMANDA")</f>
        <v>DEMANDA</v>
      </c>
      <c r="J12" s="1" t="str">
        <f>IFERROR(__xludf.DUMMYFUNCTION("""COMPUTED_VALUE"""),"NÃO")</f>
        <v>NÃO</v>
      </c>
      <c r="K12" s="5">
        <f>IFERROR(__xludf.DUMMYFUNCTION("""COMPUTED_VALUE"""),109900.66)</f>
        <v>109900.66</v>
      </c>
      <c r="L12" s="1" t="str">
        <f>IFERROR(__xludf.DUMMYFUNCTION("""COMPUTED_VALUE"""),"VITOR SARDI MARTINS")</f>
        <v>VITOR SARDI MARTINS</v>
      </c>
      <c r="M12" s="1" t="str">
        <f>IFERROR(__xludf.DUMMYFUNCTION("""COMPUTED_VALUE"""),"SECRETARIA ADJUNTA DE CIDADANIA E INCLUSÃO SOCIOPRODUTIVA - SACIS")</f>
        <v>SECRETARIA ADJUNTA DE CIDADANIA E INCLUSÃO SOCIOPRODUTIVA - SACIS</v>
      </c>
      <c r="N12" s="1"/>
      <c r="O12" s="1"/>
    </row>
    <row r="13">
      <c r="A13" s="1">
        <f>IFERROR(__xludf.DUMMYFUNCTION("""COMPUTED_VALUE"""),12.0)</f>
        <v>12</v>
      </c>
      <c r="B13" s="1" t="str">
        <f>IFERROR(__xludf.DUMMYFUNCTION("""COMPUTED_VALUE"""),"048/2025")</f>
        <v>048/2025</v>
      </c>
      <c r="C13" s="1" t="str">
        <f>IFERROR(__xludf.DUMMYFUNCTION("""COMPUTED_VALUE"""),"SETASC-PRO-2025/12356")</f>
        <v>SETASC-PRO-2025/12356</v>
      </c>
      <c r="D13" s="1" t="str">
        <f>IFERROR(__xludf.DUMMYFUNCTION("""COMPUTED_VALUE"""),"INFORTOUCH, AGÊNCIA DE COMUNICAÇÃO, EVENTOS E PRODUTOS ALIMENTÍCIOS LTDA")</f>
        <v>INFORTOUCH, AGÊNCIA DE COMUNICAÇÃO, EVENTOS E PRODUTOS ALIMENTÍCIOS LTDA</v>
      </c>
      <c r="E13" s="1" t="str">
        <f>IFERROR(__xludf.DUMMYFUNCTION("""COMPUTED_VALUE"""),"O objeto do presente instrumento refere-se à contratação de empresa especializada na prestação de serviços para eventos, incluindo 
palco e tenda; climatizador e gerador de energia, para atender as demandas da SACIS.")</f>
        <v>O objeto do presente instrumento refere-se à contratação de empresa especializada na prestação de serviços para eventos, incluindo 
palco e tenda; climatizador e gerador de energia, para atender as demandas da SACIS.</v>
      </c>
      <c r="F13" s="1" t="str">
        <f>IFERROR(__xludf.DUMMYFUNCTION("""COMPUTED_VALUE"""),"19/09/2025 a 18/09/2026")</f>
        <v>19/09/2025 a 18/09/2026</v>
      </c>
      <c r="G13" s="1">
        <f>IFERROR(__xludf.DUMMYFUNCTION("""COMPUTED_VALUE"""),39.0)</f>
        <v>39</v>
      </c>
      <c r="H13" s="5">
        <f>IFERROR(__xludf.DUMMYFUNCTION("""COMPUTED_VALUE"""),420761.95)</f>
        <v>420761.95</v>
      </c>
      <c r="I13" s="5" t="str">
        <f>IFERROR(__xludf.DUMMYFUNCTION("""COMPUTED_VALUE"""),"DEMANDA")</f>
        <v>DEMANDA</v>
      </c>
      <c r="J13" s="1" t="str">
        <f>IFERROR(__xludf.DUMMYFUNCTION("""COMPUTED_VALUE"""),"NÃO")</f>
        <v>NÃO</v>
      </c>
      <c r="K13" s="5">
        <f>IFERROR(__xludf.DUMMYFUNCTION("""COMPUTED_VALUE"""),357446.95)</f>
        <v>357446.95</v>
      </c>
      <c r="L13" s="1" t="str">
        <f>IFERROR(__xludf.DUMMYFUNCTION("""COMPUTED_VALUE"""),"
RODRIGO PRIETO
")</f>
        <v>
RODRIGO PRIETO
</v>
      </c>
      <c r="M13" s="1" t="str">
        <f>IFERROR(__xludf.DUMMYFUNCTION("""COMPUTED_VALUE"""),"SECRETARIA ADJUNTA DE CIDADANIA E INCLUSÃO SOCIOPRODUTIVA - SACIS")</f>
        <v>SECRETARIA ADJUNTA DE CIDADANIA E INCLUSÃO SOCIOPRODUTIVA - SACIS</v>
      </c>
      <c r="N13" s="1"/>
      <c r="O13" s="1"/>
    </row>
    <row r="14">
      <c r="A14" s="1">
        <f>IFERROR(__xludf.DUMMYFUNCTION("""COMPUTED_VALUE"""),13.0)</f>
        <v>13</v>
      </c>
      <c r="B14" s="1" t="str">
        <f>IFERROR(__xludf.DUMMYFUNCTION("""COMPUTED_VALUE"""),"047/2025")</f>
        <v>047/2025</v>
      </c>
      <c r="C14" s="1" t="str">
        <f>IFERROR(__xludf.DUMMYFUNCTION("""COMPUTED_VALUE"""),"SETASC-PRO-2025/12354")</f>
        <v>SETASC-PRO-2025/12354</v>
      </c>
      <c r="D14" s="1" t="str">
        <f>IFERROR(__xludf.DUMMYFUNCTION("""COMPUTED_VALUE"""),"SETTE LOCAÇÃO DE SOM, LUZ E PALCO LTDA")</f>
        <v>SETTE LOCAÇÃO DE SOM, LUZ E PALCO LTDA</v>
      </c>
      <c r="E14" s="1" t="str">
        <f>IFERROR(__xludf.DUMMYFUNCTION("""COMPUTED_VALUE"""),"O objeto do presente instrumento refere-se à contratação de empresa especializada na prestação de serviços para eventos, incluindo sonorização, iluminação e imagem, para atender as demandas da SACIS.")</f>
        <v>O objeto do presente instrumento refere-se à contratação de empresa especializada na prestação de serviços para eventos, incluindo sonorização, iluminação e imagem, para atender as demandas da SACIS.</v>
      </c>
      <c r="F14" s="1" t="str">
        <f>IFERROR(__xludf.DUMMYFUNCTION("""COMPUTED_VALUE"""),"19/09/2025 a 18/09/2026")</f>
        <v>19/09/2025 a 18/09/2026</v>
      </c>
      <c r="G14" s="1">
        <f>IFERROR(__xludf.DUMMYFUNCTION("""COMPUTED_VALUE"""),39.0)</f>
        <v>39</v>
      </c>
      <c r="H14" s="5">
        <f>IFERROR(__xludf.DUMMYFUNCTION("""COMPUTED_VALUE"""),169227.8)</f>
        <v>169227.8</v>
      </c>
      <c r="I14" s="5" t="str">
        <f>IFERROR(__xludf.DUMMYFUNCTION("""COMPUTED_VALUE"""),"DEMANDA")</f>
        <v>DEMANDA</v>
      </c>
      <c r="J14" s="1" t="str">
        <f>IFERROR(__xludf.DUMMYFUNCTION("""COMPUTED_VALUE"""),"NÃO")</f>
        <v>NÃO</v>
      </c>
      <c r="K14" s="5">
        <f>IFERROR(__xludf.DUMMYFUNCTION("""COMPUTED_VALUE"""),149826.15)</f>
        <v>149826.15</v>
      </c>
      <c r="L14" s="1" t="str">
        <f>IFERROR(__xludf.DUMMYFUNCTION("""COMPUTED_VALUE"""),"ROBERTA DEON SETTE")</f>
        <v>ROBERTA DEON SETTE</v>
      </c>
      <c r="M14" s="1" t="str">
        <f>IFERROR(__xludf.DUMMYFUNCTION("""COMPUTED_VALUE"""),"SECRETARIA ADJUNTA DE CIDADANIA E INCLUSÃO SOCIOPRODUTIVA - SACIS")</f>
        <v>SECRETARIA ADJUNTA DE CIDADANIA E INCLUSÃO SOCIOPRODUTIVA - SACIS</v>
      </c>
      <c r="N14" s="1"/>
      <c r="O14" s="1"/>
    </row>
    <row r="15">
      <c r="A15" s="1">
        <f>IFERROR(__xludf.DUMMYFUNCTION("""COMPUTED_VALUE"""),14.0)</f>
        <v>14</v>
      </c>
      <c r="B15" s="1" t="str">
        <f>IFERROR(__xludf.DUMMYFUNCTION("""COMPUTED_VALUE"""),"046/2025")</f>
        <v>046/2025</v>
      </c>
      <c r="C15" s="1" t="str">
        <f>IFERROR(__xludf.DUMMYFUNCTION("""COMPUTED_VALUE"""),"SETASC-PRO-2025/11281")</f>
        <v>SETASC-PRO-2025/11281</v>
      </c>
      <c r="D15" s="1" t="str">
        <f>IFERROR(__xludf.DUMMYFUNCTION("""COMPUTED_VALUE"""),"TMF CONSTRUÇÕES, INCORPORAÇÃO E SERVIÇOS LTDA.")</f>
        <v>TMF CONSTRUÇÕES, INCORPORAÇÃO E SERVIÇOS LTDA.</v>
      </c>
      <c r="E15" s="1" t="str">
        <f>IFERROR(__xludf.DUMMYFUNCTION("""COMPUTED_VALUE"""),"O objeto do presente instrumento refere-se à prestação de serviços especializado, sob demanda, para prestação de serviços de MANUTENÇÃO PREDIAL, consistindo em instalação, montagem, reparação e adaptação, com fornecimento de peças, equipamentos, materiais"&amp;" e mão de obra, sendo a remuneração por maior desconto aplicado na forma estabelecida em planilhas de serviços e insumos constantes na tabela SINAPI e por composições derivadas, de natureza comum, visando atender as demandas da SETASC.")</f>
        <v>O objeto do presente instrumento refere-se à prestação de serviços especializado, sob demanda, para prestação de serviços de MANUTENÇÃO PREDIAL, consistindo em instalação, montagem, reparação e adaptação, com fornecimento de peças, equipamentos, materiais e mão de obra, sendo a remuneração por maior desconto aplicado na forma estabelecida em planilhas de serviços e insumos constantes na tabela SINAPI e por composições derivadas, de natureza comum, visando atender as demandas da SETASC.</v>
      </c>
      <c r="F15" s="1" t="str">
        <f>IFERROR(__xludf.DUMMYFUNCTION("""COMPUTED_VALUE"""),"16/09/2025 a 15/09/2027")</f>
        <v>16/09/2025 a 15/09/2027</v>
      </c>
      <c r="G15" s="1">
        <f>IFERROR(__xludf.DUMMYFUNCTION("""COMPUTED_VALUE"""),39.0)</f>
        <v>39</v>
      </c>
      <c r="H15" s="5">
        <f>IFERROR(__xludf.DUMMYFUNCTION("""COMPUTED_VALUE"""),2000000.0)</f>
        <v>2000000</v>
      </c>
      <c r="I15" s="5" t="str">
        <f>IFERROR(__xludf.DUMMYFUNCTION("""COMPUTED_VALUE"""),"DEMANDA")</f>
        <v>DEMANDA</v>
      </c>
      <c r="J15" s="1" t="str">
        <f>IFERROR(__xludf.DUMMYFUNCTION("""COMPUTED_VALUE"""),"NÃO")</f>
        <v>NÃO</v>
      </c>
      <c r="K15" s="5">
        <f>IFERROR(__xludf.DUMMYFUNCTION("""COMPUTED_VALUE"""),2000000.0)</f>
        <v>2000000</v>
      </c>
      <c r="L15" s="1" t="str">
        <f>IFERROR(__xludf.DUMMYFUNCTION("""COMPUTED_VALUE"""),"THIAGO RONCHI ADRIEN EUGENIO")</f>
        <v>THIAGO RONCHI ADRIEN EUGENIO</v>
      </c>
      <c r="M15" s="1" t="str">
        <f>IFERROR(__xludf.DUMMYFUNCTION("""COMPUTED_VALUE"""),"COORDENADORIA DE INFRAESTRUTURA")</f>
        <v>COORDENADORIA DE INFRAESTRUTURA</v>
      </c>
      <c r="N15" s="1"/>
      <c r="O15" s="1"/>
    </row>
    <row r="16">
      <c r="A16" s="1">
        <f>IFERROR(__xludf.DUMMYFUNCTION("""COMPUTED_VALUE"""),15.0)</f>
        <v>15</v>
      </c>
      <c r="B16" s="1" t="str">
        <f>IFERROR(__xludf.DUMMYFUNCTION("""COMPUTED_VALUE"""),"045/2025")</f>
        <v>045/2025</v>
      </c>
      <c r="C16" s="1" t="str">
        <f>IFERROR(__xludf.DUMMYFUNCTION("""COMPUTED_VALUE"""),"SETASC-PRO-2025/10455")</f>
        <v>SETASC-PRO-2025/10455</v>
      </c>
      <c r="D16" s="1" t="str">
        <f>IFERROR(__xludf.DUMMYFUNCTION("""COMPUTED_VALUE"""),"LINCE SEGURANÇA PATRIMONIAL LTDA")</f>
        <v>LINCE SEGURANÇA PATRIMONIAL LTDA</v>
      </c>
      <c r="E16" s="1" t="str">
        <f>IFERROR(__xludf.DUMMYFUNCTION("""COMPUTED_VALUE"""),"O objeto do presente instrumento refere-se à contratação de serviço especializado de mão de obra para prestação de serviços  de Vigilância Armada e Desarmada para atender a Secretaria de Estado de Assistência Social e Cidadania -SETASC e suas unidades des"&amp;"centralizadas.")</f>
        <v>O objeto do presente instrumento refere-se à contratação de serviço especializado de mão de obra para prestação de serviços  de Vigilância Armada e Desarmada para atender a Secretaria de Estado de Assistência Social e Cidadania -SETASC e suas unidades descentralizadas.</v>
      </c>
      <c r="F16" s="1" t="str">
        <f>IFERROR(__xludf.DUMMYFUNCTION("""COMPUTED_VALUE"""),"22/09/2025 a 21/09/2025")</f>
        <v>22/09/2025 a 21/09/2025</v>
      </c>
      <c r="G16" s="1">
        <f>IFERROR(__xludf.DUMMYFUNCTION("""COMPUTED_VALUE"""),37.0)</f>
        <v>37</v>
      </c>
      <c r="H16" s="5">
        <f>IFERROR(__xludf.DUMMYFUNCTION("""COMPUTED_VALUE"""),4016778.24)</f>
        <v>4016778.24</v>
      </c>
      <c r="I16" s="5" t="str">
        <f>IFERROR(__xludf.DUMMYFUNCTION("""COMPUTED_VALUE"""),"DEMANDA")</f>
        <v>DEMANDA</v>
      </c>
      <c r="J16" s="1" t="str">
        <f>IFERROR(__xludf.DUMMYFUNCTION("""COMPUTED_VALUE"""),"NÃO")</f>
        <v>NÃO</v>
      </c>
      <c r="K16" s="5">
        <f>IFERROR(__xludf.DUMMYFUNCTION("""COMPUTED_VALUE"""),4016778.24)</f>
        <v>4016778.24</v>
      </c>
      <c r="L16" s="1" t="str">
        <f>IFERROR(__xludf.DUMMYFUNCTION("""COMPUTED_VALUE"""),"WILLIAN LOPES DE AQUIAR")</f>
        <v>WILLIAN LOPES DE AQUIAR</v>
      </c>
      <c r="M16" s="1" t="str">
        <f>IFERROR(__xludf.DUMMYFUNCTION("""COMPUTED_VALUE"""),"COORDENADORIA  DE APOIO LOGÍSTICO - CAL")</f>
        <v>COORDENADORIA  DE APOIO LOGÍSTICO - CAL</v>
      </c>
      <c r="N16" s="1"/>
      <c r="O16" s="1"/>
    </row>
    <row r="17">
      <c r="A17" s="1">
        <f>IFERROR(__xludf.DUMMYFUNCTION("""COMPUTED_VALUE"""),16.0)</f>
        <v>16</v>
      </c>
      <c r="B17" s="1" t="str">
        <f>IFERROR(__xludf.DUMMYFUNCTION("""COMPUTED_VALUE"""),"044/2025")</f>
        <v>044/2025</v>
      </c>
      <c r="C17" s="1" t="str">
        <f>IFERROR(__xludf.DUMMYFUNCTION("""COMPUTED_VALUE"""),"SETASC-PRO-2025/07151")</f>
        <v>SETASC-PRO-2025/07151</v>
      </c>
      <c r="D17" s="1" t="str">
        <f>IFERROR(__xludf.DUMMYFUNCTION("""COMPUTED_VALUE"""),"PROJECT-FI")</f>
        <v>PROJECT-FI</v>
      </c>
      <c r="E17" s="1" t="str">
        <f>IFERROR(__xludf.DUMMYFUNCTION("""COMPUTED_VALUE"""),"O objeto do presente instrumento refere-se à Contratação de pessoa jurídica especializada para prestação de serviços In Company de Assessoria e Consultoria em elaboração e gerenciamento de projetos em Direitos Humanos, Gestão e Políticas Públicas, e Capac"&amp;"itação em Programas de Proteção., por intermédio da Secretaria de Estado de Assistência Social e Cidadania - SETASC/MT. ")</f>
        <v>O objeto do presente instrumento refere-se à Contratação de pessoa jurídica especializada para prestação de serviços In Company de Assessoria e Consultoria em elaboração e gerenciamento de projetos em Direitos Humanos, Gestão e Políticas Públicas, e Capacitação em Programas de Proteção., por intermédio da Secretaria de Estado de Assistência Social e Cidadania - SETASC/MT. </v>
      </c>
      <c r="F17" s="1" t="str">
        <f>IFERROR(__xludf.DUMMYFUNCTION("""COMPUTED_VALUE"""),"16/09/2025 a 15/12/2025")</f>
        <v>16/09/2025 a 15/12/2025</v>
      </c>
      <c r="G17" s="1">
        <f>IFERROR(__xludf.DUMMYFUNCTION("""COMPUTED_VALUE"""),39.0)</f>
        <v>39</v>
      </c>
      <c r="H17" s="5">
        <f>IFERROR(__xludf.DUMMYFUNCTION("""COMPUTED_VALUE"""),50000.0)</f>
        <v>50000</v>
      </c>
      <c r="I17" s="5" t="str">
        <f>IFERROR(__xludf.DUMMYFUNCTION("""COMPUTED_VALUE"""),"DEMANDA")</f>
        <v>DEMANDA</v>
      </c>
      <c r="J17" s="1" t="str">
        <f>IFERROR(__xludf.DUMMYFUNCTION("""COMPUTED_VALUE"""),"NÃO")</f>
        <v>NÃO</v>
      </c>
      <c r="K17" s="5">
        <f>IFERROR(__xludf.DUMMYFUNCTION("""COMPUTED_VALUE"""),50000.0)</f>
        <v>50000</v>
      </c>
      <c r="L17" s="1" t="str">
        <f>IFERROR(__xludf.DUMMYFUNCTION("""COMPUTED_VALUE"""),"DOUGLAS SAMPAIO FRANCO")</f>
        <v>DOUGLAS SAMPAIO FRANCO</v>
      </c>
      <c r="M17" s="1" t="str">
        <f>IFERROR(__xludf.DUMMYFUNCTION("""COMPUTED_VALUE"""),"SECRETARIA ADJUNTA DE DIREITOS HUMANOS")</f>
        <v>SECRETARIA ADJUNTA DE DIREITOS HUMANOS</v>
      </c>
      <c r="N17" s="1"/>
      <c r="O17" s="1"/>
    </row>
    <row r="18">
      <c r="A18" s="1">
        <f>IFERROR(__xludf.DUMMYFUNCTION("""COMPUTED_VALUE"""),17.0)</f>
        <v>17</v>
      </c>
      <c r="B18" s="1" t="str">
        <f>IFERROR(__xludf.DUMMYFUNCTION("""COMPUTED_VALUE"""),"043/2025")</f>
        <v>043/2025</v>
      </c>
      <c r="C18" s="1" t="str">
        <f>IFERROR(__xludf.DUMMYFUNCTION("""COMPUTED_VALUE"""),"SETASC-PRO-2025/05006")</f>
        <v>SETASC-PRO-2025/05006</v>
      </c>
      <c r="D18" s="1" t="str">
        <f>IFERROR(__xludf.DUMMYFUNCTION("""COMPUTED_VALUE"""),"CONFORTLINE ENGENHARIA TÉRMICA LTDA.")</f>
        <v>CONFORTLINE ENGENHARIA TÉRMICA LTDA.</v>
      </c>
      <c r="E18" s="1" t="str">
        <f>IFERROR(__xludf.DUMMYFUNCTION("""COMPUTED_VALUE"""),"O objeto do presente instrumento refere-se Aquisição/Contratação de sistema de ar condicionado VRF (Variable Refrigerant Flow)")</f>
        <v>O objeto do presente instrumento refere-se Aquisição/Contratação de sistema de ar condicionado VRF (Variable Refrigerant Flow)</v>
      </c>
      <c r="F18" s="1" t="str">
        <f>IFERROR(__xludf.DUMMYFUNCTION("""COMPUTED_VALUE"""),"10/09/2025 a 09/09/2026")</f>
        <v>10/09/2025 a 09/09/2026</v>
      </c>
      <c r="G18" s="1">
        <f>IFERROR(__xludf.DUMMYFUNCTION("""COMPUTED_VALUE"""),52.0)</f>
        <v>52</v>
      </c>
      <c r="H18" s="5">
        <f>IFERROR(__xludf.DUMMYFUNCTION("""COMPUTED_VALUE"""),1337000.0)</f>
        <v>1337000</v>
      </c>
      <c r="I18" s="5" t="str">
        <f>IFERROR(__xludf.DUMMYFUNCTION("""COMPUTED_VALUE"""),"DEMANDA")</f>
        <v>DEMANDA</v>
      </c>
      <c r="J18" s="1" t="str">
        <f>IFERROR(__xludf.DUMMYFUNCTION("""COMPUTED_VALUE"""),"NÃO")</f>
        <v>NÃO</v>
      </c>
      <c r="K18" s="5">
        <f>IFERROR(__xludf.DUMMYFUNCTION("""COMPUTED_VALUE"""),1337000.0)</f>
        <v>1337000</v>
      </c>
      <c r="L18" s="1" t="str">
        <f>IFERROR(__xludf.DUMMYFUNCTION("""COMPUTED_VALUE"""),"RODRIGO DE SOUSA VAZ")</f>
        <v>RODRIGO DE SOUSA VAZ</v>
      </c>
      <c r="M18" s="1" t="str">
        <f>IFERROR(__xludf.DUMMYFUNCTION("""COMPUTED_VALUE"""),"COORDENADORIA DE INFRAESTRUTURA")</f>
        <v>COORDENADORIA DE INFRAESTRUTURA</v>
      </c>
      <c r="N18" s="1"/>
      <c r="O18" s="1"/>
    </row>
    <row r="19">
      <c r="A19" s="1">
        <f>IFERROR(__xludf.DUMMYFUNCTION("""COMPUTED_VALUE"""),18.0)</f>
        <v>18</v>
      </c>
      <c r="B19" s="1" t="str">
        <f>IFERROR(__xludf.DUMMYFUNCTION("""COMPUTED_VALUE"""),"042/2025")</f>
        <v>042/2025</v>
      </c>
      <c r="C19" s="1" t="str">
        <f>IFERROR(__xludf.DUMMYFUNCTION("""COMPUTED_VALUE"""),"SETASC-PRO-2025/06841")</f>
        <v>SETASC-PRO-2025/06841</v>
      </c>
      <c r="D19" s="1" t="str">
        <f>IFERROR(__xludf.DUMMYFUNCTION("""COMPUTED_VALUE"""),"ASSOCIAÇÃO DE PESQUISADORES E FORMADORES DA AREA DA CRIANÇA E DO ADOLESCENTE - NECA")</f>
        <v>ASSOCIAÇÃO DE PESQUISADORES E FORMADORES DA AREA DA CRIANÇA E DO ADOLESCENTE - NECA</v>
      </c>
      <c r="E19" s="1" t="str">
        <f>IFERROR(__xludf.DUMMYFUNCTION("""COMPUTED_VALUE"""),"O objeto do presente instrumento é a Contratação da  Associação de Pesquisadores e Formadores da Área da Criança e do Adolescente - NECA para capacitação de 170 profissionais da rede  sócio assistencial do Estado de Mato Grosso sobre a proteção integral d"&amp;"e crianças e adolescentes para a prevenção, percepção, identificação  dos principais indicadores apresentados por crianças e adolescentes em situação de Trabalho Infantil (TI).")</f>
        <v>O objeto do presente instrumento é a Contratação da  Associação de Pesquisadores e Formadores da Área da Criança e do Adolescente - NECA para capacitação de 170 profissionais da rede  sócio assistencial do Estado de Mato Grosso sobre a proteção integral de crianças e adolescentes para a prevenção, percepção, identificação  dos principais indicadores apresentados por crianças e adolescentes em situação de Trabalho Infantil (TI).</v>
      </c>
      <c r="F19" s="1" t="str">
        <f>IFERROR(__xludf.DUMMYFUNCTION("""COMPUTED_VALUE"""),"04/09/2025 a 03/03/2026")</f>
        <v>04/09/2025 a 03/03/2026</v>
      </c>
      <c r="G19" s="1">
        <f>IFERROR(__xludf.DUMMYFUNCTION("""COMPUTED_VALUE"""),39.0)</f>
        <v>39</v>
      </c>
      <c r="H19" s="5">
        <f>IFERROR(__xludf.DUMMYFUNCTION("""COMPUTED_VALUE"""),46000.0)</f>
        <v>46000</v>
      </c>
      <c r="I19" s="5" t="str">
        <f>IFERROR(__xludf.DUMMYFUNCTION("""COMPUTED_VALUE"""),"DEMANDA")</f>
        <v>DEMANDA</v>
      </c>
      <c r="J19" s="1" t="str">
        <f>IFERROR(__xludf.DUMMYFUNCTION("""COMPUTED_VALUE"""),"NÃO")</f>
        <v>NÃO</v>
      </c>
      <c r="K19" s="5">
        <f>IFERROR(__xludf.DUMMYFUNCTION("""COMPUTED_VALUE"""),46000.0)</f>
        <v>46000</v>
      </c>
      <c r="L19" s="1" t="str">
        <f>IFERROR(__xludf.DUMMYFUNCTION("""COMPUTED_VALUE"""),"DAYSE CESAR FRANCO BERNARDI")</f>
        <v>DAYSE CESAR FRANCO BERNARDI</v>
      </c>
      <c r="M19" s="1" t="str">
        <f>IFERROR(__xludf.DUMMYFUNCTION("""COMPUTED_VALUE"""),"COORDENADORIA DE GESTÃO DE PROGRAMAS E PROJETOS
SOCIOASSISTENCIAIS DO SUAS ")</f>
        <v>COORDENADORIA DE GESTÃO DE PROGRAMAS E PROJETOS
SOCIOASSISTENCIAIS DO SUAS </v>
      </c>
      <c r="N19" s="1"/>
      <c r="O19" s="1"/>
    </row>
    <row r="20">
      <c r="A20" s="1">
        <f>IFERROR(__xludf.DUMMYFUNCTION("""COMPUTED_VALUE"""),19.0)</f>
        <v>19</v>
      </c>
      <c r="B20" s="1" t="str">
        <f>IFERROR(__xludf.DUMMYFUNCTION("""COMPUTED_VALUE"""),"041/2025")</f>
        <v>041/2025</v>
      </c>
      <c r="C20" s="1" t="str">
        <f>IFERROR(__xludf.DUMMYFUNCTION("""COMPUTED_VALUE"""),"SETASC-PRO-2025/07268")</f>
        <v>SETASC-PRO-2025/07268</v>
      </c>
      <c r="D20" s="1" t="str">
        <f>IFERROR(__xludf.DUMMYFUNCTION("""COMPUTED_VALUE"""),"ROMMA SISTEMAS DE SEGURANÇA ELETRÔNICA LTDA")</f>
        <v>ROMMA SISTEMAS DE SEGURANÇA ELETRÔNICA LTDA</v>
      </c>
      <c r="E20" s="1" t="str">
        <f>IFERROR(__xludf.DUMMYFUNCTION("""COMPUTED_VALUE"""),"O objeto do presente instrumento é a adesão à ARP nº 005/2025/SEPLAG, para aquisição de material permanente, sendo, equipamento tipo controlador de acesso com reconhecimento facial para atender à demanda da Secretaria de Assistência Social e suas unidades"&amp;" descentralizadas.")</f>
        <v>O objeto do presente instrumento é a adesão à ARP nº 005/2025/SEPLAG, para aquisição de material permanente, sendo, equipamento tipo controlador de acesso com reconhecimento facial para atender à demanda da Secretaria de Assistência Social e suas unidades descentralizadas.</v>
      </c>
      <c r="F20" s="1" t="str">
        <f>IFERROR(__xludf.DUMMYFUNCTION("""COMPUTED_VALUE"""),"10/09/2025 a 09/09/2026")</f>
        <v>10/09/2025 a 09/09/2026</v>
      </c>
      <c r="G20" s="1"/>
      <c r="H20" s="5">
        <f>IFERROR(__xludf.DUMMYFUNCTION("""COMPUTED_VALUE"""),17920.0)</f>
        <v>17920</v>
      </c>
      <c r="I20" s="1"/>
      <c r="J20" s="1" t="str">
        <f>IFERROR(__xludf.DUMMYFUNCTION("""COMPUTED_VALUE"""),"NÃO")</f>
        <v>NÃO</v>
      </c>
      <c r="K20" s="5">
        <f>IFERROR(__xludf.DUMMYFUNCTION("""COMPUTED_VALUE"""),17920.0)</f>
        <v>17920</v>
      </c>
      <c r="L20" s="1" t="str">
        <f>IFERROR(__xludf.DUMMYFUNCTION("""COMPUTED_VALUE"""),"RODRIGO ANTÔNIO PAES DE ANDRADE LOPES DE OLIVEIRA")</f>
        <v>RODRIGO ANTÔNIO PAES DE ANDRADE LOPES DE OLIVEIRA</v>
      </c>
      <c r="M20" s="1" t="str">
        <f>IFERROR(__xludf.DUMMYFUNCTION("""COMPUTED_VALUE"""),"COORDENADORIA DE GESTÃO DE PESSOAS E COORDENADORIA DE PATRIMÔNIO")</f>
        <v>COORDENADORIA DE GESTÃO DE PESSOAS E COORDENADORIA DE PATRIMÔNIO</v>
      </c>
      <c r="N20" s="1"/>
      <c r="O20" s="1"/>
    </row>
    <row r="21">
      <c r="A21" s="1">
        <f>IFERROR(__xludf.DUMMYFUNCTION("""COMPUTED_VALUE"""),20.0)</f>
        <v>20</v>
      </c>
      <c r="B21" s="1" t="str">
        <f>IFERROR(__xludf.DUMMYFUNCTION("""COMPUTED_VALUE"""),"040/2025")</f>
        <v>040/2025</v>
      </c>
      <c r="C21" s="1" t="str">
        <f>IFERROR(__xludf.DUMMYFUNCTION("""COMPUTED_VALUE"""),"SETASC-PRO-2025/10325")</f>
        <v>SETASC-PRO-2025/10325</v>
      </c>
      <c r="D21" s="1" t="str">
        <f>IFERROR(__xludf.DUMMYFUNCTION("""COMPUTED_VALUE"""),"SUPREMA LOCADORA DE VEÍCULOS LEVES E PESADOS LTDA")</f>
        <v>SUPREMA LOCADORA DE VEÍCULOS LEVES E PESADOS LTDA</v>
      </c>
      <c r="E21" s="1" t="str">
        <f>IFERROR(__xludf.DUMMYFUNCTION("""COMPUTED_VALUE"""),"O objeto do presente instrumento é a adesão à ARP nº 015/2025/SEPLAG para contratação de empresa especializada na locação de veículos administrativos para atender à demanda da Secretaria de Assistência Social e suas unidades descentralizadas, conforme esp"&amp;"ecificações e condições técnicas constantes no Edital n° 011/2025/SEPLAG.
")</f>
        <v>O objeto do presente instrumento é a adesão à ARP nº 015/2025/SEPLAG para contratação de empresa especializada na locação de veículos administrativos para atender à demanda da Secretaria de Assistência Social e suas unidades descentralizadas, conforme especificações e condições técnicas constantes no Edital n° 011/2025/SEPLAG.
</v>
      </c>
      <c r="F21" s="1" t="str">
        <f>IFERROR(__xludf.DUMMYFUNCTION("""COMPUTED_VALUE"""),"13/08/2025 a 12/08/2030")</f>
        <v>13/08/2025 a 12/08/2030</v>
      </c>
      <c r="G21" s="1">
        <f>IFERROR(__xludf.DUMMYFUNCTION("""COMPUTED_VALUE"""),39.0)</f>
        <v>39</v>
      </c>
      <c r="H21" s="5">
        <f>IFERROR(__xludf.DUMMYFUNCTION("""COMPUTED_VALUE"""),1.2951222E7)</f>
        <v>12951222</v>
      </c>
      <c r="I21" s="5" t="str">
        <f>IFERROR(__xludf.DUMMYFUNCTION("""COMPUTED_VALUE"""),"DEMANDA")</f>
        <v>DEMANDA</v>
      </c>
      <c r="J21" s="1" t="str">
        <f>IFERROR(__xludf.DUMMYFUNCTION("""COMPUTED_VALUE"""),"NÃO")</f>
        <v>NÃO</v>
      </c>
      <c r="K21" s="5">
        <f>IFERROR(__xludf.DUMMYFUNCTION("""COMPUTED_VALUE"""),1.2951222E7)</f>
        <v>12951222</v>
      </c>
      <c r="L21" s="1" t="str">
        <f>IFERROR(__xludf.DUMMYFUNCTION("""COMPUTED_VALUE"""),"DIEGO JAIRO DOURADO DA SILVA")</f>
        <v>DIEGO JAIRO DOURADO DA SILVA</v>
      </c>
      <c r="M21" s="1" t="str">
        <f>IFERROR(__xludf.DUMMYFUNCTION("""COMPUTED_VALUE"""),"COORDENADORIA DE APOIO LOGÍSTICO - CAL")</f>
        <v>COORDENADORIA DE APOIO LOGÍSTICO - CAL</v>
      </c>
      <c r="N21" s="1"/>
      <c r="O21" s="1"/>
    </row>
    <row r="22">
      <c r="A22" s="1">
        <f>IFERROR(__xludf.DUMMYFUNCTION("""COMPUTED_VALUE"""),21.0)</f>
        <v>21</v>
      </c>
      <c r="B22" s="1" t="str">
        <f>IFERROR(__xludf.DUMMYFUNCTION("""COMPUTED_VALUE"""),"039/2025")</f>
        <v>039/2025</v>
      </c>
      <c r="C22" s="1" t="str">
        <f>IFERROR(__xludf.DUMMYFUNCTION("""COMPUTED_VALUE"""),"SETASC-PRO-2025/09704")</f>
        <v>SETASC-PRO-2025/09704</v>
      </c>
      <c r="D22" s="1" t="str">
        <f>IFERROR(__xludf.DUMMYFUNCTION("""COMPUTED_VALUE"""),"GIBBOR PUBLICIDADE E PUBLICAÇÕES DE EDITAIS EIRELI EPP")</f>
        <v>GIBBOR PUBLICIDADE E PUBLICAÇÕES DE EDITAIS EIRELI EPP</v>
      </c>
      <c r="E22" s="1" t="str">
        <f>IFERROR(__xludf.DUMMYFUNCTION("""COMPUTED_VALUE"""),"O objeto do presente instrumento é a prestação dos serviços de empresa especializada na prestação de serviços para publicação de avisos de licitação e outras matérias dos interesses da Contratante, em jornal diário de grande circulação, para atender às de"&amp;"mandas da  Secretaria de Estado de Assistência Social e Cidadania – SETASC/MT, nas condições constantes neste instrumento e no Edital do Pregão Eletrônico nº. 006/2025/SEPLAG.   ")</f>
        <v>O objeto do presente instrumento é a prestação dos serviços de empresa especializada na prestação de serviços para publicação de avisos de licitação e outras matérias dos interesses da Contratante, em jornal diário de grande circulação, para atender às demandas da  Secretaria de Estado de Assistência Social e Cidadania – SETASC/MT, nas condições constantes neste instrumento e no Edital do Pregão Eletrônico nº. 006/2025/SEPLAG.   </v>
      </c>
      <c r="F22" s="1" t="str">
        <f>IFERROR(__xludf.DUMMYFUNCTION("""COMPUTED_VALUE"""),"07/08/2025 a 06/08/2027")</f>
        <v>07/08/2025 a 06/08/2027</v>
      </c>
      <c r="G22" s="1">
        <f>IFERROR(__xludf.DUMMYFUNCTION("""COMPUTED_VALUE"""),39.0)</f>
        <v>39</v>
      </c>
      <c r="H22" s="5">
        <f>IFERROR(__xludf.DUMMYFUNCTION("""COMPUTED_VALUE"""),14290.0)</f>
        <v>14290</v>
      </c>
      <c r="I22" s="5" t="str">
        <f>IFERROR(__xludf.DUMMYFUNCTION("""COMPUTED_VALUE"""),"DEMANDA")</f>
        <v>DEMANDA</v>
      </c>
      <c r="J22" s="1" t="str">
        <f>IFERROR(__xludf.DUMMYFUNCTION("""COMPUTED_VALUE"""),"NÃO")</f>
        <v>NÃO</v>
      </c>
      <c r="K22" s="5">
        <f>IFERROR(__xludf.DUMMYFUNCTION("""COMPUTED_VALUE"""),14290.0)</f>
        <v>14290</v>
      </c>
      <c r="L22" s="1" t="str">
        <f>IFERROR(__xludf.DUMMYFUNCTION("""COMPUTED_VALUE"""),"ALEXANDRE DA SILVA BANDETINI")</f>
        <v>ALEXANDRE DA SILVA BANDETINI</v>
      </c>
      <c r="M22" s="1" t="str">
        <f>IFERROR(__xludf.DUMMYFUNCTION("""COMPUTED_VALUE"""),"COORDENADORIA DE AQUISIÇÕES")</f>
        <v>COORDENADORIA DE AQUISIÇÕES</v>
      </c>
      <c r="N22" s="1"/>
      <c r="O22" s="1"/>
    </row>
    <row r="23">
      <c r="A23" s="1">
        <f>IFERROR(__xludf.DUMMYFUNCTION("""COMPUTED_VALUE"""),22.0)</f>
        <v>22</v>
      </c>
      <c r="B23" s="1" t="str">
        <f>IFERROR(__xludf.DUMMYFUNCTION("""COMPUTED_VALUE"""),"038/2025")</f>
        <v>038/2025</v>
      </c>
      <c r="C23" s="1" t="str">
        <f>IFERROR(__xludf.DUMMYFUNCTION("""COMPUTED_VALUE"""),"SETASC-PRO-2025/00190")</f>
        <v>SETASC-PRO-2025/00190</v>
      </c>
      <c r="D23" s="1" t="str">
        <f>IFERROR(__xludf.DUMMYFUNCTION("""COMPUTED_VALUE"""),"S.V. LEÃO LTDA")</f>
        <v>S.V. LEÃO LTDA</v>
      </c>
      <c r="E23" s="1" t="str">
        <f>IFERROR(__xludf.DUMMYFUNCTION("""COMPUTED_VALUE"""),"O objeto do presente instrumento refere-se à contratação de pessoa jurídica especializada no fornecimento de mobiliário planejado da Secretaria de Estado de Assistência Social e Cidadania – SETASC/MT, conforme descrições e quantitativos constantes na tabe"&amp;"la abaixo, conforme condições e exigências estabelecidas no Termo de Referência que deu origem a este Contrato.   ")</f>
        <v>O objeto do presente instrumento refere-se à contratação de pessoa jurídica especializada no fornecimento de mobiliário planejado da Secretaria de Estado de Assistência Social e Cidadania – SETASC/MT, conforme descrições e quantitativos constantes na tabela abaixo, conforme condições e exigências estabelecidas no Termo de Referência que deu origem a este Contrato.   </v>
      </c>
      <c r="F23" s="1" t="str">
        <f>IFERROR(__xludf.DUMMYFUNCTION("""COMPUTED_VALUE"""),"30/07/2025 a 29/07/2026")</f>
        <v>30/07/2025 a 29/07/2026</v>
      </c>
      <c r="G23" s="1">
        <f>IFERROR(__xludf.DUMMYFUNCTION("""COMPUTED_VALUE"""),52.0)</f>
        <v>52</v>
      </c>
      <c r="H23" s="5">
        <f>IFERROR(__xludf.DUMMYFUNCTION("""COMPUTED_VALUE"""),789599.82)</f>
        <v>789599.82</v>
      </c>
      <c r="I23" s="5" t="str">
        <f>IFERROR(__xludf.DUMMYFUNCTION("""COMPUTED_VALUE"""),"DEMANDA")</f>
        <v>DEMANDA</v>
      </c>
      <c r="J23" s="1" t="str">
        <f>IFERROR(__xludf.DUMMYFUNCTION("""COMPUTED_VALUE"""),"NÃO")</f>
        <v>NÃO</v>
      </c>
      <c r="K23" s="5">
        <f>IFERROR(__xludf.DUMMYFUNCTION("""COMPUTED_VALUE"""),789599.82)</f>
        <v>789599.82</v>
      </c>
      <c r="L23" s="1" t="str">
        <f>IFERROR(__xludf.DUMMYFUNCTION("""COMPUTED_VALUE"""),"KENNYA CONSANI DAS MERCÊS")</f>
        <v>KENNYA CONSANI DAS MERCÊS</v>
      </c>
      <c r="M23" s="1" t="str">
        <f>IFERROR(__xludf.DUMMYFUNCTION("""COMPUTED_VALUE"""),"COORDENADORIA DE PATRIMÔNIO ")</f>
        <v>COORDENADORIA DE PATRIMÔNIO </v>
      </c>
      <c r="N23" s="1"/>
      <c r="O23" s="1"/>
    </row>
    <row r="24">
      <c r="A24" s="1">
        <f>IFERROR(__xludf.DUMMYFUNCTION("""COMPUTED_VALUE"""),23.0)</f>
        <v>23</v>
      </c>
      <c r="B24" s="1" t="str">
        <f>IFERROR(__xludf.DUMMYFUNCTION("""COMPUTED_VALUE"""),"036/2025")</f>
        <v>036/2025</v>
      </c>
      <c r="C24" s="1" t="str">
        <f>IFERROR(__xludf.DUMMYFUNCTION("""COMPUTED_VALUE"""),"SETASC-PRO-2025/07420")</f>
        <v>SETASC-PRO-2025/07420</v>
      </c>
      <c r="D24" s="1" t="str">
        <f>IFERROR(__xludf.DUMMYFUNCTION("""COMPUTED_VALUE"""),"DOMINGOS SÁVIO QUEIROZ PORTO-ME")</f>
        <v>DOMINGOS SÁVIO QUEIROZ PORTO-ME</v>
      </c>
      <c r="E24" s="1" t="str">
        <f>IFERROR(__xludf.DUMMYFUNCTION("""COMPUTED_VALUE"""),"O objeto do presente instrumento é a prestação dos serviços de chaveiro, com fornecimento do material para atender as demandas da Secretaria de Estado de Assistência Social e Cidadania – SETASC/MT, nas condições estabelecidas no Termo de Referência.")</f>
        <v>O objeto do presente instrumento é a prestação dos serviços de chaveiro, com fornecimento do material para atender as demandas da Secretaria de Estado de Assistência Social e Cidadania – SETASC/MT, nas condições estabelecidas no Termo de Referência.</v>
      </c>
      <c r="F24" s="1" t="str">
        <f>IFERROR(__xludf.DUMMYFUNCTION("""COMPUTED_VALUE"""),"06/08/2025 a 05/08/2026")</f>
        <v>06/08/2025 a 05/08/2026</v>
      </c>
      <c r="G24" s="1">
        <f>IFERROR(__xludf.DUMMYFUNCTION("""COMPUTED_VALUE"""),39.0)</f>
        <v>39</v>
      </c>
      <c r="H24" s="5">
        <f>IFERROR(__xludf.DUMMYFUNCTION("""COMPUTED_VALUE"""),19648.92)</f>
        <v>19648.92</v>
      </c>
      <c r="I24" s="5" t="str">
        <f>IFERROR(__xludf.DUMMYFUNCTION("""COMPUTED_VALUE"""),"DEMANDA")</f>
        <v>DEMANDA</v>
      </c>
      <c r="J24" s="1" t="str">
        <f>IFERROR(__xludf.DUMMYFUNCTION("""COMPUTED_VALUE"""),"NÃO")</f>
        <v>NÃO</v>
      </c>
      <c r="K24" s="5">
        <f>IFERROR(__xludf.DUMMYFUNCTION("""COMPUTED_VALUE"""),19648.92)</f>
        <v>19648.92</v>
      </c>
      <c r="L24" s="1" t="str">
        <f>IFERROR(__xludf.DUMMYFUNCTION("""COMPUTED_VALUE"""),"DOMINGOS SÁVIO QUEIROZ PORTO")</f>
        <v>DOMINGOS SÁVIO QUEIROZ PORTO</v>
      </c>
      <c r="M24" s="1" t="str">
        <f>IFERROR(__xludf.DUMMYFUNCTION("""COMPUTED_VALUE"""),"COORDENADORIA DE APOIO LOGÍSTICO - CAL")</f>
        <v>COORDENADORIA DE APOIO LOGÍSTICO - CAL</v>
      </c>
      <c r="N24" s="1"/>
      <c r="O24" s="1"/>
    </row>
    <row r="25">
      <c r="A25" s="1">
        <f>IFERROR(__xludf.DUMMYFUNCTION("""COMPUTED_VALUE"""),24.0)</f>
        <v>24</v>
      </c>
      <c r="B25" s="1" t="str">
        <f>IFERROR(__xludf.DUMMYFUNCTION("""COMPUTED_VALUE"""),"035/2025")</f>
        <v>035/2025</v>
      </c>
      <c r="C25" s="1" t="str">
        <f>IFERROR(__xludf.DUMMYFUNCTION("""COMPUTED_VALUE"""),"SETASC-PRO-2024/10251")</f>
        <v>SETASC-PRO-2024/10251</v>
      </c>
      <c r="D25" s="1" t="str">
        <f>IFERROR(__xludf.DUMMYFUNCTION("""COMPUTED_VALUE"""),"CENTRO EDUCACIONAL D’ PAULA LTDA")</f>
        <v>CENTRO EDUCACIONAL D’ PAULA LTDA</v>
      </c>
      <c r="E25" s="1" t="str">
        <f>IFERROR(__xludf.DUMMYFUNCTION("""COMPUTED_VALUE"""),"O objeto do presente instrumento refere-se à contratação de empresa especializada em desenvolvimento de método de estimulação cognitiva, para realização de oficinas em atendimento às crianças de 04 a 12 anos de idade do Programa SER Família Criança, por i"&amp;"ntermédio da Secretaria de Estado de Assistência Social e Cidadania – SETASC/MT, ficando a empresa contratada responsável pelo fornecimento dos materiais e profissionais necessários para a execução das oficinas, na modalidade presencial, conforme as condi"&amp;"ções estabelecidas no Termo de Referência. ")</f>
        <v>O objeto do presente instrumento refere-se à contratação de empresa especializada em desenvolvimento de método de estimulação cognitiva, para realização de oficinas em atendimento às crianças de 04 a 12 anos de idade do Programa SER Família Criança, por intermédio da Secretaria de Estado de Assistência Social e Cidadania – SETASC/MT, ficando a empresa contratada responsável pelo fornecimento dos materiais e profissionais necessários para a execução das oficinas, na modalidade presencial, conforme as condições estabelecidas no Termo de Referência. </v>
      </c>
      <c r="F25" s="1" t="str">
        <f>IFERROR(__xludf.DUMMYFUNCTION("""COMPUTED_VALUE"""),"22/07/2025 a 21/07/2027")</f>
        <v>22/07/2025 a 21/07/2027</v>
      </c>
      <c r="G25" s="1">
        <f>IFERROR(__xludf.DUMMYFUNCTION("""COMPUTED_VALUE"""),39.0)</f>
        <v>39</v>
      </c>
      <c r="H25" s="5">
        <f>IFERROR(__xludf.DUMMYFUNCTION("""COMPUTED_VALUE"""),2499980.0)</f>
        <v>2499980</v>
      </c>
      <c r="I25" s="5" t="str">
        <f>IFERROR(__xludf.DUMMYFUNCTION("""COMPUTED_VALUE"""),"DEMANDA")</f>
        <v>DEMANDA</v>
      </c>
      <c r="J25" s="1" t="str">
        <f>IFERROR(__xludf.DUMMYFUNCTION("""COMPUTED_VALUE"""),"NÃO")</f>
        <v>NÃO</v>
      </c>
      <c r="K25" s="5">
        <f>IFERROR(__xludf.DUMMYFUNCTION("""COMPUTED_VALUE"""),2430505.08)</f>
        <v>2430505.08</v>
      </c>
      <c r="L25" s="1" t="str">
        <f>IFERROR(__xludf.DUMMYFUNCTION("""COMPUTED_VALUE"""),"BRUNA THAIS JUNGES BAZZO")</f>
        <v>BRUNA THAIS JUNGES BAZZO</v>
      </c>
      <c r="M25" s="1" t="str">
        <f>IFERROR(__xludf.DUMMYFUNCTION("""COMPUTED_VALUE"""),"SECRETARIA ADJUNTA DE PROGRAMAS E PROJETOS ESPECIAIS DE ATENÇÃO À FAMÍLIA - SAPPEAF")</f>
        <v>SECRETARIA ADJUNTA DE PROGRAMAS E PROJETOS ESPECIAIS DE ATENÇÃO À FAMÍLIA - SAPPEAF</v>
      </c>
      <c r="N25" s="1"/>
      <c r="O25" s="1"/>
    </row>
    <row r="26">
      <c r="A26" s="1">
        <f>IFERROR(__xludf.DUMMYFUNCTION("""COMPUTED_VALUE"""),25.0)</f>
        <v>25</v>
      </c>
      <c r="B26" s="1" t="str">
        <f>IFERROR(__xludf.DUMMYFUNCTION("""COMPUTED_VALUE"""),"034/2025")</f>
        <v>034/2025</v>
      </c>
      <c r="C26" s="1" t="str">
        <f>IFERROR(__xludf.DUMMYFUNCTION("""COMPUTED_VALUE"""),"SETASC-PRO-2025/04878")</f>
        <v>SETASC-PRO-2025/04878</v>
      </c>
      <c r="D26" s="1" t="str">
        <f>IFERROR(__xludf.DUMMYFUNCTION("""COMPUTED_VALUE"""),"GEOI2 TECNOLOGIA DA INFORMAÇÃO LTDA")</f>
        <v>GEOI2 TECNOLOGIA DA INFORMAÇÃO LTDA</v>
      </c>
      <c r="E26" s="1" t="str">
        <f>IFERROR(__xludf.DUMMYFUNCTION("""COMPUTED_VALUE"""),"O objeto do presente instrumento é a aquisição de licença de softwares para atender as demandas da Secretaria de Estado de Assistência Social e Cidadania - SETASC/MT.")</f>
        <v>O objeto do presente instrumento é a aquisição de licença de softwares para atender as demandas da Secretaria de Estado de Assistência Social e Cidadania - SETASC/MT.</v>
      </c>
      <c r="F26" s="1" t="str">
        <f>IFERROR(__xludf.DUMMYFUNCTION("""COMPUTED_VALUE"""),"28/05/2025 a 27/05/2026")</f>
        <v>28/05/2025 a 27/05/2026</v>
      </c>
      <c r="G26" s="1">
        <f>IFERROR(__xludf.DUMMYFUNCTION("""COMPUTED_VALUE"""),40.0)</f>
        <v>40</v>
      </c>
      <c r="H26" s="5">
        <f>IFERROR(__xludf.DUMMYFUNCTION("""COMPUTED_VALUE"""),15800.0)</f>
        <v>15800</v>
      </c>
      <c r="I26" s="5" t="str">
        <f>IFERROR(__xludf.DUMMYFUNCTION("""COMPUTED_VALUE"""),"DEMANDA")</f>
        <v>DEMANDA</v>
      </c>
      <c r="J26" s="1" t="str">
        <f>IFERROR(__xludf.DUMMYFUNCTION("""COMPUTED_VALUE"""),"NÃO")</f>
        <v>NÃO</v>
      </c>
      <c r="K26" s="5">
        <f>IFERROR(__xludf.DUMMYFUNCTION("""COMPUTED_VALUE"""),0.0)</f>
        <v>0</v>
      </c>
      <c r="L26" s="1" t="str">
        <f>IFERROR(__xludf.DUMMYFUNCTION("""COMPUTED_VALUE"""),"ARTHUR AFFONSO DE BARROS MARINHO")</f>
        <v>ARTHUR AFFONSO DE BARROS MARINHO</v>
      </c>
      <c r="M26" s="1" t="str">
        <f>IFERROR(__xludf.DUMMYFUNCTION("""COMPUTED_VALUE"""),"SAADS")</f>
        <v>SAADS</v>
      </c>
      <c r="N26" s="1"/>
      <c r="O26" s="1"/>
    </row>
    <row r="27">
      <c r="A27" s="1">
        <f>IFERROR(__xludf.DUMMYFUNCTION("""COMPUTED_VALUE"""),26.0)</f>
        <v>26</v>
      </c>
      <c r="B27" s="1" t="str">
        <f>IFERROR(__xludf.DUMMYFUNCTION("""COMPUTED_VALUE"""),"033/2025")</f>
        <v>033/2025</v>
      </c>
      <c r="C27" s="1" t="str">
        <f>IFERROR(__xludf.DUMMYFUNCTION("""COMPUTED_VALUE"""),"SETASC-PRO-2025/04881")</f>
        <v>SETASC-PRO-2025/04881</v>
      </c>
      <c r="D27" s="1" t="str">
        <f>IFERROR(__xludf.DUMMYFUNCTION("""COMPUTED_VALUE"""),"TOTALCAD COMERCIO E SERVIÇOS TECNOLÓGICOS LTDA")</f>
        <v>TOTALCAD COMERCIO E SERVIÇOS TECNOLÓGICOS LTDA</v>
      </c>
      <c r="E27" s="1" t="str">
        <f>IFERROR(__xludf.DUMMYFUNCTION("""COMPUTED_VALUE"""),"O objeto do presente instrumento é a aquisição de licença de softwares para atender as demandas da Secretaria de Estado de Assistência Social e Cidadania - SETASC/MT")</f>
        <v>O objeto do presente instrumento é a aquisição de licença de softwares para atender as demandas da Secretaria de Estado de Assistência Social e Cidadania - SETASC/MT</v>
      </c>
      <c r="F27" s="1" t="str">
        <f>IFERROR(__xludf.DUMMYFUNCTION("""COMPUTED_VALUE"""),"28/05/2025 a 27/05/2026")</f>
        <v>28/05/2025 a 27/05/2026</v>
      </c>
      <c r="G27" s="1">
        <f>IFERROR(__xludf.DUMMYFUNCTION("""COMPUTED_VALUE"""),40.0)</f>
        <v>40</v>
      </c>
      <c r="H27" s="5">
        <f>IFERROR(__xludf.DUMMYFUNCTION("""COMPUTED_VALUE"""),13345.76)</f>
        <v>13345.76</v>
      </c>
      <c r="I27" s="5" t="str">
        <f>IFERROR(__xludf.DUMMYFUNCTION("""COMPUTED_VALUE"""),"DEMANDA")</f>
        <v>DEMANDA</v>
      </c>
      <c r="J27" s="1" t="str">
        <f>IFERROR(__xludf.DUMMYFUNCTION("""COMPUTED_VALUE"""),"NÃO")</f>
        <v>NÃO</v>
      </c>
      <c r="K27" s="5">
        <f>IFERROR(__xludf.DUMMYFUNCTION("""COMPUTED_VALUE"""),6672.88)</f>
        <v>6672.88</v>
      </c>
      <c r="L27" s="1" t="str">
        <f>IFERROR(__xludf.DUMMYFUNCTION("""COMPUTED_VALUE"""),"JOSÉ AUGUSTO DA SILVA")</f>
        <v>JOSÉ AUGUSTO DA SILVA</v>
      </c>
      <c r="M27" s="1" t="str">
        <f>IFERROR(__xludf.DUMMYFUNCTION("""COMPUTED_VALUE"""),"SAADS")</f>
        <v>SAADS</v>
      </c>
      <c r="N27" s="1"/>
      <c r="O27" s="1"/>
    </row>
    <row r="28">
      <c r="A28" s="1">
        <f>IFERROR(__xludf.DUMMYFUNCTION("""COMPUTED_VALUE"""),27.0)</f>
        <v>27</v>
      </c>
      <c r="B28" s="1" t="str">
        <f>IFERROR(__xludf.DUMMYFUNCTION("""COMPUTED_VALUE"""),"032/2025")</f>
        <v>032/2025</v>
      </c>
      <c r="C28" s="1" t="str">
        <f>IFERROR(__xludf.DUMMYFUNCTION("""COMPUTED_VALUE"""),"SETASC-PRO-2025/04879")</f>
        <v>SETASC-PRO-2025/04879</v>
      </c>
      <c r="D28" s="1" t="str">
        <f>IFERROR(__xludf.DUMMYFUNCTION("""COMPUTED_VALUE"""),"MCR SISTEMAS E CONSULTORIA LTDA")</f>
        <v>MCR SISTEMAS E CONSULTORIA LTDA</v>
      </c>
      <c r="E28" s="1" t="str">
        <f>IFERROR(__xludf.DUMMYFUNCTION("""COMPUTED_VALUE"""),"O objeto do presente instrumento é a aquisição de licença de softwares para atender as demandas da Secretaria de Estado de Assistência 
Social e Cidadania - SETASC/MT.")</f>
        <v>O objeto do presente instrumento é a aquisição de licença de softwares para atender as demandas da Secretaria de Estado de Assistência 
Social e Cidadania - SETASC/MT.</v>
      </c>
      <c r="F28" s="1" t="str">
        <f>IFERROR(__xludf.DUMMYFUNCTION("""COMPUTED_VALUE"""),"29/05/2005 a 28/05/2026")</f>
        <v>29/05/2005 a 28/05/2026</v>
      </c>
      <c r="G28" s="1">
        <f>IFERROR(__xludf.DUMMYFUNCTION("""COMPUTED_VALUE"""),40.0)</f>
        <v>40</v>
      </c>
      <c r="H28" s="5">
        <f>IFERROR(__xludf.DUMMYFUNCTION("""COMPUTED_VALUE"""),39592.8)</f>
        <v>39592.8</v>
      </c>
      <c r="I28" s="5" t="str">
        <f>IFERROR(__xludf.DUMMYFUNCTION("""COMPUTED_VALUE"""),"DEMANDA")</f>
        <v>DEMANDA</v>
      </c>
      <c r="J28" s="1" t="str">
        <f>IFERROR(__xludf.DUMMYFUNCTION("""COMPUTED_VALUE"""),"NAO")</f>
        <v>NAO</v>
      </c>
      <c r="K28" s="5">
        <f>IFERROR(__xludf.DUMMYFUNCTION("""COMPUTED_VALUE"""),0.0)</f>
        <v>0</v>
      </c>
      <c r="L28" s="1" t="str">
        <f>IFERROR(__xludf.DUMMYFUNCTION("""COMPUTED_VALUE"""),"CARLOS ROBERTO DA SILVA ABRAHÃO")</f>
        <v>CARLOS ROBERTO DA SILVA ABRAHÃO</v>
      </c>
      <c r="M28" s="1" t="str">
        <f>IFERROR(__xludf.DUMMYFUNCTION("""COMPUTED_VALUE"""),"SAADS")</f>
        <v>SAADS</v>
      </c>
      <c r="N28" s="1"/>
      <c r="O28" s="1"/>
    </row>
    <row r="29">
      <c r="A29" s="1">
        <f>IFERROR(__xludf.DUMMYFUNCTION("""COMPUTED_VALUE"""),28.0)</f>
        <v>28</v>
      </c>
      <c r="B29" s="1" t="str">
        <f>IFERROR(__xludf.DUMMYFUNCTION("""COMPUTED_VALUE"""),"031/2025")</f>
        <v>031/2025</v>
      </c>
      <c r="C29" s="1" t="str">
        <f>IFERROR(__xludf.DUMMYFUNCTION("""COMPUTED_VALUE"""),"SETASC-PRO-2025/03076")</f>
        <v>SETASC-PRO-2025/03076</v>
      </c>
      <c r="D29" s="1" t="str">
        <f>IFERROR(__xludf.DUMMYFUNCTION("""COMPUTED_VALUE"""),"ORBE SOLUÇÕES LTDA")</f>
        <v>ORBE SOLUÇÕES LTDA</v>
      </c>
      <c r="E29" s="1" t="str">
        <f>IFERROR(__xludf.DUMMYFUNCTION("""COMPUTED_VALUE"""),"O objeto do presente instrumento refere-se à aquisição de suprimentos de informática para atender as demandas da Secretaria de
Estado de Assistência Social e Cidadania - SETASC/MT.")</f>
        <v>O objeto do presente instrumento refere-se à aquisição de suprimentos de informática para atender as demandas da Secretaria de
Estado de Assistência Social e Cidadania - SETASC/MT.</v>
      </c>
      <c r="F29" s="1" t="str">
        <f>IFERROR(__xludf.DUMMYFUNCTION("""COMPUTED_VALUE"""),"11/06/2025 a 10/06/2026")</f>
        <v>11/06/2025 a 10/06/2026</v>
      </c>
      <c r="G29" s="1">
        <f>IFERROR(__xludf.DUMMYFUNCTION("""COMPUTED_VALUE"""),30.0)</f>
        <v>30</v>
      </c>
      <c r="H29" s="5">
        <f>IFERROR(__xludf.DUMMYFUNCTION("""COMPUTED_VALUE"""),8575.35)</f>
        <v>8575.35</v>
      </c>
      <c r="I29" s="5" t="str">
        <f>IFERROR(__xludf.DUMMYFUNCTION("""COMPUTED_VALUE"""),"DEMANDA")</f>
        <v>DEMANDA</v>
      </c>
      <c r="J29" s="1" t="str">
        <f>IFERROR(__xludf.DUMMYFUNCTION("""COMPUTED_VALUE"""),"NÃO")</f>
        <v>NÃO</v>
      </c>
      <c r="K29" s="5">
        <f>IFERROR(__xludf.DUMMYFUNCTION("""COMPUTED_VALUE"""),8575.35)</f>
        <v>8575.35</v>
      </c>
      <c r="L29" s="1" t="str">
        <f>IFERROR(__xludf.DUMMYFUNCTION("""COMPUTED_VALUE"""),"CLEBER UILQUERSON PASSOS DOS SANTOS")</f>
        <v>CLEBER UILQUERSON PASSOS DOS SANTOS</v>
      </c>
      <c r="M29" s="1" t="str">
        <f>IFERROR(__xludf.DUMMYFUNCTION("""COMPUTED_VALUE"""),"SAADS")</f>
        <v>SAADS</v>
      </c>
      <c r="N29" s="1"/>
      <c r="O29" s="1"/>
    </row>
    <row r="30">
      <c r="A30" s="1">
        <f>IFERROR(__xludf.DUMMYFUNCTION("""COMPUTED_VALUE"""),29.0)</f>
        <v>29</v>
      </c>
      <c r="B30" s="1" t="str">
        <f>IFERROR(__xludf.DUMMYFUNCTION("""COMPUTED_VALUE"""),"030/2025")</f>
        <v>030/2025</v>
      </c>
      <c r="C30" s="1" t="str">
        <f>IFERROR(__xludf.DUMMYFUNCTION("""COMPUTED_VALUE"""),"SETASC-PRO-2025/06532")</f>
        <v>SETASC-PRO-2025/06532</v>
      </c>
      <c r="D30" s="1" t="str">
        <f>IFERROR(__xludf.DUMMYFUNCTION("""COMPUTED_VALUE"""),"CONSTRUMAIS MATERIAIS PARA 
CONSTRUÇÃO LTDA")</f>
        <v>CONSTRUMAIS MATERIAIS PARA 
CONSTRUÇÃO LTDA</v>
      </c>
      <c r="E30" s="1" t="str">
        <f>IFERROR(__xludf.DUMMYFUNCTION("""COMPUTED_VALUE"""),"O objeto do presente instrumento refere-se à aquisição de materiais de consumo, sendo material fotográfico, para recompor o estoque do Almoxarifado.
")</f>
        <v>O objeto do presente instrumento refere-se à aquisição de materiais de consumo, sendo material fotográfico, para recompor o estoque do Almoxarifado.
</v>
      </c>
      <c r="F30" s="1" t="str">
        <f>IFERROR(__xludf.DUMMYFUNCTION("""COMPUTED_VALUE"""),"28/05/2025 a 27/05/2026")</f>
        <v>28/05/2025 a 27/05/2026</v>
      </c>
      <c r="G30" s="1">
        <f>IFERROR(__xludf.DUMMYFUNCTION("""COMPUTED_VALUE"""),30.0)</f>
        <v>30</v>
      </c>
      <c r="H30" s="5">
        <f>IFERROR(__xludf.DUMMYFUNCTION("""COMPUTED_VALUE"""),125908.0)</f>
        <v>125908</v>
      </c>
      <c r="I30" s="5" t="str">
        <f>IFERROR(__xludf.DUMMYFUNCTION("""COMPUTED_VALUE"""),"DEMANDA")</f>
        <v>DEMANDA</v>
      </c>
      <c r="J30" s="1" t="str">
        <f>IFERROR(__xludf.DUMMYFUNCTION("""COMPUTED_VALUE"""),"NÃO")</f>
        <v>NÃO</v>
      </c>
      <c r="K30" s="5">
        <f>IFERROR(__xludf.DUMMYFUNCTION("""COMPUTED_VALUE"""),125908.0)</f>
        <v>125908</v>
      </c>
      <c r="L30" s="1" t="str">
        <f>IFERROR(__xludf.DUMMYFUNCTION("""COMPUTED_VALUE"""),"FELIPE FELIZ DA COSTA")</f>
        <v>FELIPE FELIZ DA COSTA</v>
      </c>
      <c r="M30" s="1" t="str">
        <f>IFERROR(__xludf.DUMMYFUNCTION("""COMPUTED_VALUE"""),"SAADS")</f>
        <v>SAADS</v>
      </c>
      <c r="N30" s="1"/>
      <c r="O30" s="1"/>
    </row>
    <row r="31">
      <c r="A31" s="1">
        <f>IFERROR(__xludf.DUMMYFUNCTION("""COMPUTED_VALUE"""),30.0)</f>
        <v>30</v>
      </c>
      <c r="B31" s="1" t="str">
        <f>IFERROR(__xludf.DUMMYFUNCTION("""COMPUTED_VALUE"""),"029/2025")</f>
        <v>029/2025</v>
      </c>
      <c r="C31" s="1" t="str">
        <f>IFERROR(__xludf.DUMMYFUNCTION("""COMPUTED_VALUE"""),"SETASC-PRO-2025/06376")</f>
        <v>SETASC-PRO-2025/06376</v>
      </c>
      <c r="D31" s="1" t="str">
        <f>IFERROR(__xludf.DUMMYFUNCTION("""COMPUTED_VALUE"""),"PRIME COMÉRCIO E CONSULTORIA EM LICITAÇÕES LTDA")</f>
        <v>PRIME COMÉRCIO E CONSULTORIA EM LICITAÇÕES LTDA</v>
      </c>
      <c r="E31" s="1" t="str">
        <f>IFERROR(__xludf.DUMMYFUNCTION("""COMPUTED_VALUE"""),"O objeto do presente instrumento refere-se à aquisição de materiais de consumo, sendo expediente; limpeza e higiene, para recompor o estoque do Almoxarifado. ")</f>
        <v>O objeto do presente instrumento refere-se à aquisição de materiais de consumo, sendo expediente; limpeza e higiene, para recompor o estoque do Almoxarifado. </v>
      </c>
      <c r="F31" s="1" t="str">
        <f>IFERROR(__xludf.DUMMYFUNCTION("""COMPUTED_VALUE"""),"13/05/2025 a 12/05/2026")</f>
        <v>13/05/2025 a 12/05/2026</v>
      </c>
      <c r="G31" s="1">
        <f>IFERROR(__xludf.DUMMYFUNCTION("""COMPUTED_VALUE"""),30.0)</f>
        <v>30</v>
      </c>
      <c r="H31" s="5">
        <f>IFERROR(__xludf.DUMMYFUNCTION("""COMPUTED_VALUE"""),48948.58)</f>
        <v>48948.58</v>
      </c>
      <c r="I31" s="5" t="str">
        <f>IFERROR(__xludf.DUMMYFUNCTION("""COMPUTED_VALUE"""),"DEMANDA")</f>
        <v>DEMANDA</v>
      </c>
      <c r="J31" s="1" t="str">
        <f>IFERROR(__xludf.DUMMYFUNCTION("""COMPUTED_VALUE"""),"NÃO")</f>
        <v>NÃO</v>
      </c>
      <c r="K31" s="5">
        <f>IFERROR(__xludf.DUMMYFUNCTION("""COMPUTED_VALUE"""),47765.44)</f>
        <v>47765.44</v>
      </c>
      <c r="L31" s="1" t="str">
        <f>IFERROR(__xludf.DUMMYFUNCTION("""COMPUTED_VALUE"""),"JULLIA OLIVEIRA FORTES")</f>
        <v>JULLIA OLIVEIRA FORTES</v>
      </c>
      <c r="M31" s="1" t="str">
        <f>IFERROR(__xludf.DUMMYFUNCTION("""COMPUTED_VALUE"""),"SAADS")</f>
        <v>SAADS</v>
      </c>
      <c r="N31" s="1"/>
      <c r="O31" s="1"/>
    </row>
    <row r="32">
      <c r="A32" s="1">
        <f>IFERROR(__xludf.DUMMYFUNCTION("""COMPUTED_VALUE"""),31.0)</f>
        <v>31</v>
      </c>
      <c r="B32" s="1" t="str">
        <f>IFERROR(__xludf.DUMMYFUNCTION("""COMPUTED_VALUE"""),"028/2025")</f>
        <v>028/2025</v>
      </c>
      <c r="C32" s="1" t="str">
        <f>IFERROR(__xludf.DUMMYFUNCTION("""COMPUTED_VALUE"""),"SETASC-PRO-2025/06315")</f>
        <v>SETASC-PRO-2025/06315</v>
      </c>
      <c r="D32" s="1" t="str">
        <f>IFERROR(__xludf.DUMMYFUNCTION("""COMPUTED_VALUE"""),"LUASI PAPÉIS E LIVROS LTDA")</f>
        <v>LUASI PAPÉIS E LIVROS LTDA</v>
      </c>
      <c r="E32" s="1" t="str">
        <f>IFERROR(__xludf.DUMMYFUNCTION("""COMPUTED_VALUE"""),"O objeto do presente instrumento refere-se à aquisição de materiais de consumo, sendo expediente; limpeza e higiene, para recompor o estoque do Almoxarifado. ")</f>
        <v>O objeto do presente instrumento refere-se à aquisição de materiais de consumo, sendo expediente; limpeza e higiene, para recompor o estoque do Almoxarifado. </v>
      </c>
      <c r="F32" s="1" t="str">
        <f>IFERROR(__xludf.DUMMYFUNCTION("""COMPUTED_VALUE"""),"09/05/2025 a 08/05/2026")</f>
        <v>09/05/2025 a 08/05/2026</v>
      </c>
      <c r="G32" s="1">
        <f>IFERROR(__xludf.DUMMYFUNCTION("""COMPUTED_VALUE"""),30.0)</f>
        <v>30</v>
      </c>
      <c r="H32" s="5">
        <f>IFERROR(__xludf.DUMMYFUNCTION("""COMPUTED_VALUE"""),125250.0)</f>
        <v>125250</v>
      </c>
      <c r="I32" s="5" t="str">
        <f>IFERROR(__xludf.DUMMYFUNCTION("""COMPUTED_VALUE"""),"DEMANDA")</f>
        <v>DEMANDA</v>
      </c>
      <c r="J32" s="1" t="str">
        <f>IFERROR(__xludf.DUMMYFUNCTION("""COMPUTED_VALUE"""),"NÃO")</f>
        <v>NÃO</v>
      </c>
      <c r="K32" s="5">
        <f>IFERROR(__xludf.DUMMYFUNCTION("""COMPUTED_VALUE"""),64500.0)</f>
        <v>64500</v>
      </c>
      <c r="L32" s="1" t="str">
        <f>IFERROR(__xludf.DUMMYFUNCTION("""COMPUTED_VALUE"""),"LUIS AFONSO DA SILVA")</f>
        <v>LUIS AFONSO DA SILVA</v>
      </c>
      <c r="M32" s="1" t="str">
        <f>IFERROR(__xludf.DUMMYFUNCTION("""COMPUTED_VALUE"""),"SAADS")</f>
        <v>SAADS</v>
      </c>
      <c r="N32" s="1"/>
      <c r="O32" s="1"/>
    </row>
    <row r="33">
      <c r="A33" s="1">
        <f>IFERROR(__xludf.DUMMYFUNCTION("""COMPUTED_VALUE"""),32.0)</f>
        <v>32</v>
      </c>
      <c r="B33" s="1" t="str">
        <f>IFERROR(__xludf.DUMMYFUNCTION("""COMPUTED_VALUE"""),"027/2025")</f>
        <v>027/2025</v>
      </c>
      <c r="C33" s="1" t="str">
        <f>IFERROR(__xludf.DUMMYFUNCTION("""COMPUTED_VALUE"""),"SETASC-PRO-2025/06318")</f>
        <v>SETASC-PRO-2025/06318</v>
      </c>
      <c r="D33" s="1" t="str">
        <f>IFERROR(__xludf.DUMMYFUNCTION("""COMPUTED_VALUE"""),"INFORTOUCH – AGÊNCIA DE COMUNICAÇÃO, EVENTOS E PRODUTOS ALIMENTÍCIOS LTDA")</f>
        <v>INFORTOUCH – AGÊNCIA DE COMUNICAÇÃO, EVENTOS E PRODUTOS ALIMENTÍCIOS LTDA</v>
      </c>
      <c r="E33" s="1" t="str">
        <f>IFERROR(__xludf.DUMMYFUNCTION("""COMPUTED_VALUE"""),"O objeto do presente instrumento é a contratação de empresa especializada na prestação de serviços em eventos, sendo ESTRUTURAS (GRADES); MESA; CADEIRA; CAIXA TÉRMICA E CAMINHÃO PALCO, conforme descrições; quantitativos; condições e exigências estabelecid"&amp;"as no instrumento contratual.")</f>
        <v>O objeto do presente instrumento é a contratação de empresa especializada na prestação de serviços em eventos, sendo ESTRUTURAS (GRADES); MESA; CADEIRA; CAIXA TÉRMICA E CAMINHÃO PALCO, conforme descrições; quantitativos; condições e exigências estabelecidas no instrumento contratual.</v>
      </c>
      <c r="F33" s="1" t="str">
        <f>IFERROR(__xludf.DUMMYFUNCTION("""COMPUTED_VALUE"""),"28/05/2025 a 27/05/2026")</f>
        <v>28/05/2025 a 27/05/2026</v>
      </c>
      <c r="G33" s="1">
        <f>IFERROR(__xludf.DUMMYFUNCTION("""COMPUTED_VALUE"""),39.0)</f>
        <v>39</v>
      </c>
      <c r="H33" s="5">
        <f>IFERROR(__xludf.DUMMYFUNCTION("""COMPUTED_VALUE"""),896738.8)</f>
        <v>896738.8</v>
      </c>
      <c r="I33" s="5" t="str">
        <f>IFERROR(__xludf.DUMMYFUNCTION("""COMPUTED_VALUE"""),"DEMANDA")</f>
        <v>DEMANDA</v>
      </c>
      <c r="J33" s="1" t="str">
        <f>IFERROR(__xludf.DUMMYFUNCTION("""COMPUTED_VALUE"""),"NÃO")</f>
        <v>NÃO</v>
      </c>
      <c r="K33" s="5">
        <f>IFERROR(__xludf.DUMMYFUNCTION("""COMPUTED_VALUE"""),716873.7000000001)</f>
        <v>716873.7</v>
      </c>
      <c r="L33" s="1" t="str">
        <f>IFERROR(__xludf.DUMMYFUNCTION("""COMPUTED_VALUE"""),"RODRIGO PRIETO")</f>
        <v>RODRIGO PRIETO</v>
      </c>
      <c r="M33" s="1" t="str">
        <f>IFERROR(__xludf.DUMMYFUNCTION("""COMPUTED_VALUE"""),"SACIS")</f>
        <v>SACIS</v>
      </c>
      <c r="N33" s="1"/>
      <c r="O33" s="1"/>
    </row>
    <row r="34">
      <c r="A34" s="1">
        <f>IFERROR(__xludf.DUMMYFUNCTION("""COMPUTED_VALUE"""),33.0)</f>
        <v>33</v>
      </c>
      <c r="B34" s="1" t="str">
        <f>IFERROR(__xludf.DUMMYFUNCTION("""COMPUTED_VALUE"""),"026/2025")</f>
        <v>026/2025</v>
      </c>
      <c r="C34" s="1" t="str">
        <f>IFERROR(__xludf.DUMMYFUNCTION("""COMPUTED_VALUE"""),"SETASC-PRO-2025/03079")</f>
        <v>SETASC-PRO-2025/03079</v>
      </c>
      <c r="D34" s="1" t="str">
        <f>IFERROR(__xludf.DUMMYFUNCTION("""COMPUTED_VALUE"""),"PRIME INFO SOLUÇÕES EM TECNOLOGIA LTDA")</f>
        <v>PRIME INFO SOLUÇÕES EM TECNOLOGIA LTDA</v>
      </c>
      <c r="E34" s="1" t="str">
        <f>IFERROR(__xludf.DUMMYFUNCTION("""COMPUTED_VALUE""")," O objeto do presente instrumento refere-se à aquisição de  suprimentos de informática para atender as demandas da Secretaria de  Estado de Assistência Social e Cidadania - SETASC/MT.")</f>
        <v> O objeto do presente instrumento refere-se à aquisição de  suprimentos de informática para atender as demandas da Secretaria de  Estado de Assistência Social e Cidadania - SETASC/MT.</v>
      </c>
      <c r="F34" s="1" t="str">
        <f>IFERROR(__xludf.DUMMYFUNCTION("""COMPUTED_VALUE"""),"28/05/2025 a 27/05/2026")</f>
        <v>28/05/2025 a 27/05/2026</v>
      </c>
      <c r="G34" s="1">
        <f>IFERROR(__xludf.DUMMYFUNCTION("""COMPUTED_VALUE"""),30.0)</f>
        <v>30</v>
      </c>
      <c r="H34" s="5">
        <f>IFERROR(__xludf.DUMMYFUNCTION("""COMPUTED_VALUE"""),21009.16)</f>
        <v>21009.16</v>
      </c>
      <c r="I34" s="5" t="str">
        <f>IFERROR(__xludf.DUMMYFUNCTION("""COMPUTED_VALUE"""),"DEMANDA")</f>
        <v>DEMANDA</v>
      </c>
      <c r="J34" s="1" t="str">
        <f>IFERROR(__xludf.DUMMYFUNCTION("""COMPUTED_VALUE"""),"NÃO")</f>
        <v>NÃO</v>
      </c>
      <c r="K34" s="5">
        <f>IFERROR(__xludf.DUMMYFUNCTION("""COMPUTED_VALUE"""),-3.637978807091713E-12)</f>
        <v>0</v>
      </c>
      <c r="L34" s="1" t="str">
        <f>IFERROR(__xludf.DUMMYFUNCTION("""COMPUTED_VALUE"""),"JÉSSICA DE OLIVEIRA MELO NAZAK")</f>
        <v>JÉSSICA DE OLIVEIRA MELO NAZAK</v>
      </c>
      <c r="M34" s="1" t="str">
        <f>IFERROR(__xludf.DUMMYFUNCTION("""COMPUTED_VALUE"""),"SAADS")</f>
        <v>SAADS</v>
      </c>
      <c r="N34" s="1"/>
      <c r="O34" s="1"/>
    </row>
    <row r="35">
      <c r="A35" s="1">
        <f>IFERROR(__xludf.DUMMYFUNCTION("""COMPUTED_VALUE"""),34.0)</f>
        <v>34</v>
      </c>
      <c r="B35" s="1" t="str">
        <f>IFERROR(__xludf.DUMMYFUNCTION("""COMPUTED_VALUE"""),"025/2025")</f>
        <v>025/2025</v>
      </c>
      <c r="C35" s="1" t="str">
        <f>IFERROR(__xludf.DUMMYFUNCTION("""COMPUTED_VALUE"""),"SETASC-PRO-2025/03343")</f>
        <v>SETASC-PRO-2025/03343</v>
      </c>
      <c r="D35" s="1" t="str">
        <f>IFERROR(__xludf.DUMMYFUNCTION("""COMPUTED_VALUE"""),"3D PROJETOS E ASSESSORIA EM INFORMÁTICA LTDA")</f>
        <v>3D PROJETOS E ASSESSORIA EM INFORMÁTICA LTDA</v>
      </c>
      <c r="E35" s="1" t="str">
        <f>IFERROR(__xludf.DUMMYFUNCTION("""COMPUTED_VALUE"""),"O objeto do presente instrumento refere-se à aquisição de material permanente, sendo eletrodomésticos (frigobar compacto), para
atender às demandas da Secretaria de Estado de Assistência Social e Cidadania - SETASC/MT.")</f>
        <v>O objeto do presente instrumento refere-se à aquisição de material permanente, sendo eletrodomésticos (frigobar compacto), para
atender às demandas da Secretaria de Estado de Assistência Social e Cidadania - SETASC/MT.</v>
      </c>
      <c r="F35" s="1" t="str">
        <f>IFERROR(__xludf.DUMMYFUNCTION("""COMPUTED_VALUE"""),"14/05/2025 a 13/05/2026")</f>
        <v>14/05/2025 a 13/05/2026</v>
      </c>
      <c r="G35" s="1">
        <f>IFERROR(__xludf.DUMMYFUNCTION("""COMPUTED_VALUE"""),52.0)</f>
        <v>52</v>
      </c>
      <c r="H35" s="5">
        <f>IFERROR(__xludf.DUMMYFUNCTION("""COMPUTED_VALUE"""),23940.0)</f>
        <v>23940</v>
      </c>
      <c r="I35" s="5" t="str">
        <f>IFERROR(__xludf.DUMMYFUNCTION("""COMPUTED_VALUE"""),"DEMANDA")</f>
        <v>DEMANDA</v>
      </c>
      <c r="J35" s="1" t="str">
        <f>IFERROR(__xludf.DUMMYFUNCTION("""COMPUTED_VALUE"""),"NÃO")</f>
        <v>NÃO</v>
      </c>
      <c r="K35" s="5">
        <f>IFERROR(__xludf.DUMMYFUNCTION("""COMPUTED_VALUE"""),12540.0)</f>
        <v>12540</v>
      </c>
      <c r="L35" s="1" t="str">
        <f>IFERROR(__xludf.DUMMYFUNCTION("""COMPUTED_VALUE"""),"ANTONIO CLEMILTON DO NASCIMENTO SILVA")</f>
        <v>ANTONIO CLEMILTON DO NASCIMENTO SILVA</v>
      </c>
      <c r="M35" s="1" t="str">
        <f>IFERROR(__xludf.DUMMYFUNCTION("""COMPUTED_VALUE"""),"SAADS")</f>
        <v>SAADS</v>
      </c>
      <c r="N35" s="1"/>
      <c r="O35" s="1"/>
    </row>
    <row r="36">
      <c r="A36" s="1">
        <f>IFERROR(__xludf.DUMMYFUNCTION("""COMPUTED_VALUE"""),35.0)</f>
        <v>35</v>
      </c>
      <c r="B36" s="1" t="str">
        <f>IFERROR(__xludf.DUMMYFUNCTION("""COMPUTED_VALUE"""),"024/2025")</f>
        <v>024/2025</v>
      </c>
      <c r="C36" s="1" t="str">
        <f>IFERROR(__xludf.DUMMYFUNCTION("""COMPUTED_VALUE"""),"SETASC-PRO-2025/05662")</f>
        <v>SETASC-PRO-2025/05662</v>
      </c>
      <c r="D36" s="1" t="str">
        <f>IFERROR(__xludf.DUMMYFUNCTION("""COMPUTED_VALUE"""),"MC MAIS LOCAÇÃO DE TECNOLOGIA PARA
EVENTOS LTDA.")</f>
        <v>MC MAIS LOCAÇÃO DE TECNOLOGIA PARA
EVENTOS LTDA.</v>
      </c>
      <c r="E36" s="1" t="str">
        <f>IFERROR(__xludf.DUMMYFUNCTION("""COMPUTED_VALUE"""),"O objeto do presente instrumento é a contratação de empresa especializada na prestação de serviços em eventos, sendo CLIMATIZADORES, conforme descrições; quantitativos; condições e exigências estabelecidas no instrumento contratual.")</f>
        <v>O objeto do presente instrumento é a contratação de empresa especializada na prestação de serviços em eventos, sendo CLIMATIZADORES, conforme descrições; quantitativos; condições e exigências estabelecidas no instrumento contratual.</v>
      </c>
      <c r="F36" s="1" t="str">
        <f>IFERROR(__xludf.DUMMYFUNCTION("""COMPUTED_VALUE"""),"14/07/2025 a 13/07/2026")</f>
        <v>14/07/2025 a 13/07/2026</v>
      </c>
      <c r="G36" s="1">
        <f>IFERROR(__xludf.DUMMYFUNCTION("""COMPUTED_VALUE"""),39.0)</f>
        <v>39</v>
      </c>
      <c r="H36" s="5">
        <f>IFERROR(__xludf.DUMMYFUNCTION("""COMPUTED_VALUE"""),527697.25)</f>
        <v>527697.25</v>
      </c>
      <c r="I36" s="5" t="str">
        <f>IFERROR(__xludf.DUMMYFUNCTION("""COMPUTED_VALUE"""),"DEMANDA")</f>
        <v>DEMANDA</v>
      </c>
      <c r="J36" s="1" t="str">
        <f>IFERROR(__xludf.DUMMYFUNCTION("""COMPUTED_VALUE"""),"NÃO")</f>
        <v>NÃO</v>
      </c>
      <c r="K36" s="5">
        <f>IFERROR(__xludf.DUMMYFUNCTION("""COMPUTED_VALUE"""),444645.19)</f>
        <v>444645.19</v>
      </c>
      <c r="L36" s="1" t="str">
        <f>IFERROR(__xludf.DUMMYFUNCTION("""COMPUTED_VALUE"""),"ALCIMAR MORETTI")</f>
        <v>ALCIMAR MORETTI</v>
      </c>
      <c r="M36" s="1" t="str">
        <f>IFERROR(__xludf.DUMMYFUNCTION("""COMPUTED_VALUE"""),"SACIS")</f>
        <v>SACIS</v>
      </c>
      <c r="N36" s="1"/>
      <c r="O36" s="1"/>
    </row>
    <row r="37">
      <c r="A37" s="1">
        <f>IFERROR(__xludf.DUMMYFUNCTION("""COMPUTED_VALUE"""),36.0)</f>
        <v>36</v>
      </c>
      <c r="B37" s="1" t="str">
        <f>IFERROR(__xludf.DUMMYFUNCTION("""COMPUTED_VALUE"""),"023/2025")</f>
        <v>023/2025</v>
      </c>
      <c r="C37" s="1" t="str">
        <f>IFERROR(__xludf.DUMMYFUNCTION("""COMPUTED_VALUE"""),"SETASC-PRO-2025/05661")</f>
        <v>SETASC-PRO-2025/05661</v>
      </c>
      <c r="D37" s="1" t="str">
        <f>IFERROR(__xludf.DUMMYFUNCTION("""COMPUTED_VALUE"""),"BASSIQUE-COMÉRCIO E SERVIÇOS DE
LOCAÇÕES LTDA")</f>
        <v>BASSIQUE-COMÉRCIO E SERVIÇOS DE
LOCAÇÕES LTDA</v>
      </c>
      <c r="E37" s="1" t="str">
        <f>IFERROR(__xludf.DUMMYFUNCTION("""COMPUTED_VALUE"""),"O objeto do presente instrumento é a contratação de empresa
especializada na prestação de serviços em eventos, sendo TENDAS,
conforme descrições; quantitativos; condições e exigências estabelecidas
no instrumento contratual.")</f>
        <v>O objeto do presente instrumento é a contratação de empresa
especializada na prestação de serviços em eventos, sendo TENDAS,
conforme descrições; quantitativos; condições e exigências estabelecidas
no instrumento contratual.</v>
      </c>
      <c r="F37" s="1" t="str">
        <f>IFERROR(__xludf.DUMMYFUNCTION("""COMPUTED_VALUE"""),"15/05/2025 a 14/05/2026")</f>
        <v>15/05/2025 a 14/05/2026</v>
      </c>
      <c r="G37" s="1">
        <f>IFERROR(__xludf.DUMMYFUNCTION("""COMPUTED_VALUE"""),39.0)</f>
        <v>39</v>
      </c>
      <c r="H37" s="5">
        <f>IFERROR(__xludf.DUMMYFUNCTION("""COMPUTED_VALUE"""),59945.0)</f>
        <v>59945</v>
      </c>
      <c r="I37" s="5" t="str">
        <f>IFERROR(__xludf.DUMMYFUNCTION("""COMPUTED_VALUE"""),"DEMANDA")</f>
        <v>DEMANDA</v>
      </c>
      <c r="J37" s="1" t="str">
        <f>IFERROR(__xludf.DUMMYFUNCTION("""COMPUTED_VALUE"""),"NÃO")</f>
        <v>NÃO</v>
      </c>
      <c r="K37" s="5">
        <f>IFERROR(__xludf.DUMMYFUNCTION("""COMPUTED_VALUE"""),946.5)</f>
        <v>946.5</v>
      </c>
      <c r="L37" s="1" t="str">
        <f>IFERROR(__xludf.DUMMYFUNCTION("""COMPUTED_VALUE"""),"PRISCILA CONSANI DAS MERCÊS OLIVEIRA")</f>
        <v>PRISCILA CONSANI DAS MERCÊS OLIVEIRA</v>
      </c>
      <c r="M37" s="1" t="str">
        <f>IFERROR(__xludf.DUMMYFUNCTION("""COMPUTED_VALUE"""),"SACIS")</f>
        <v>SACIS</v>
      </c>
      <c r="N37" s="1"/>
      <c r="O37" s="1"/>
    </row>
    <row r="38">
      <c r="A38" s="1">
        <f>IFERROR(__xludf.DUMMYFUNCTION("""COMPUTED_VALUE"""),37.0)</f>
        <v>37</v>
      </c>
      <c r="B38" s="1" t="str">
        <f>IFERROR(__xludf.DUMMYFUNCTION("""COMPUTED_VALUE"""),"022/2025")</f>
        <v>022/2025</v>
      </c>
      <c r="C38" s="1" t="str">
        <f>IFERROR(__xludf.DUMMYFUNCTION("""COMPUTED_VALUE"""),"SETASC-PRO-2025/05660")</f>
        <v>SETASC-PRO-2025/05660</v>
      </c>
      <c r="D38" s="1" t="str">
        <f>IFERROR(__xludf.DUMMYFUNCTION("""COMPUTED_VALUE"""),"SETTE LOCAÇÃO DE SOM LUZ E PALCO
LTDA")</f>
        <v>SETTE LOCAÇÃO DE SOM LUZ E PALCO
LTDA</v>
      </c>
      <c r="E38" s="1" t="str">
        <f>IFERROR(__xludf.DUMMYFUNCTION("""COMPUTED_VALUE"""),"O objeto do presente instrumento é a contratação de empresa
especializada na prestação de serviços em eventos, sendo SONORIZAÇÃO
e ILUMINAÇÃO, conforme descrições; quantitativos; condições e exigências
estabelecidas no instrumento contratual.")</f>
        <v>O objeto do presente instrumento é a contratação de empresa
especializada na prestação de serviços em eventos, sendo SONORIZAÇÃO
e ILUMINAÇÃO, conforme descrições; quantitativos; condições e exigências
estabelecidas no instrumento contratual.</v>
      </c>
      <c r="F38" s="1" t="str">
        <f>IFERROR(__xludf.DUMMYFUNCTION("""COMPUTED_VALUE"""),"15/05/2025 a 14/05/2026")</f>
        <v>15/05/2025 a 14/05/2026</v>
      </c>
      <c r="G38" s="1">
        <f>IFERROR(__xludf.DUMMYFUNCTION("""COMPUTED_VALUE"""),39.0)</f>
        <v>39</v>
      </c>
      <c r="H38" s="5">
        <f>IFERROR(__xludf.DUMMYFUNCTION("""COMPUTED_VALUE"""),501000.0)</f>
        <v>501000</v>
      </c>
      <c r="I38" s="5" t="str">
        <f>IFERROR(__xludf.DUMMYFUNCTION("""COMPUTED_VALUE"""),"DEMANDA")</f>
        <v>DEMANDA</v>
      </c>
      <c r="J38" s="1" t="str">
        <f>IFERROR(__xludf.DUMMYFUNCTION("""COMPUTED_VALUE"""),"NÃO")</f>
        <v>NÃO</v>
      </c>
      <c r="K38" s="5">
        <f>IFERROR(__xludf.DUMMYFUNCTION("""COMPUTED_VALUE"""),279020.0)</f>
        <v>279020</v>
      </c>
      <c r="L38" s="1" t="str">
        <f>IFERROR(__xludf.DUMMYFUNCTION("""COMPUTED_VALUE"""),"ROBERTA DEON SETTE")</f>
        <v>ROBERTA DEON SETTE</v>
      </c>
      <c r="M38" s="1" t="str">
        <f>IFERROR(__xludf.DUMMYFUNCTION("""COMPUTED_VALUE"""),"SACIS")</f>
        <v>SACIS</v>
      </c>
      <c r="N38" s="1"/>
      <c r="O38" s="1"/>
    </row>
    <row r="39">
      <c r="A39" s="1">
        <f>IFERROR(__xludf.DUMMYFUNCTION("""COMPUTED_VALUE"""),38.0)</f>
        <v>38</v>
      </c>
      <c r="B39" s="1" t="str">
        <f>IFERROR(__xludf.DUMMYFUNCTION("""COMPUTED_VALUE"""),"021/2025")</f>
        <v>021/2025</v>
      </c>
      <c r="C39" s="1" t="str">
        <f>IFERROR(__xludf.DUMMYFUNCTION("""COMPUTED_VALUE"""),"SETASC-PRO-2025/05659")</f>
        <v>SETASC-PRO-2025/05659</v>
      </c>
      <c r="D39" s="1" t="str">
        <f>IFERROR(__xludf.DUMMYFUNCTION("""COMPUTED_VALUE"""),"EMPRESA ATHENA PRODUÇÕES E EVENTOS LTDA")</f>
        <v>EMPRESA ATHENA PRODUÇÕES E EVENTOS LTDA</v>
      </c>
      <c r="E39" s="1" t="str">
        <f>IFERROR(__xludf.DUMMYFUNCTION("""COMPUTED_VALUE"""),"O objeto do presente instrumento é a contratação de empresa especializada na prestação de serviços em eventos, sendo KIT LANCHES, conforme descrições; quantitativos; condições e exigências estabelecidas no instrumento contratual.")</f>
        <v>O objeto do presente instrumento é a contratação de empresa especializada na prestação de serviços em eventos, sendo KIT LANCHES, conforme descrições; quantitativos; condições e exigências estabelecidas no instrumento contratual.</v>
      </c>
      <c r="F39" s="1" t="str">
        <f>IFERROR(__xludf.DUMMYFUNCTION("""COMPUTED_VALUE"""),"14/05/2025 a 13/05/2026")</f>
        <v>14/05/2025 a 13/05/2026</v>
      </c>
      <c r="G39" s="1">
        <f>IFERROR(__xludf.DUMMYFUNCTION("""COMPUTED_VALUE"""),30.0)</f>
        <v>30</v>
      </c>
      <c r="H39" s="5">
        <f>IFERROR(__xludf.DUMMYFUNCTION("""COMPUTED_VALUE"""),764550.0)</f>
        <v>764550</v>
      </c>
      <c r="I39" s="5" t="str">
        <f>IFERROR(__xludf.DUMMYFUNCTION("""COMPUTED_VALUE"""),"DEMANDA")</f>
        <v>DEMANDA</v>
      </c>
      <c r="J39" s="1" t="str">
        <f>IFERROR(__xludf.DUMMYFUNCTION("""COMPUTED_VALUE"""),"NÃO")</f>
        <v>NÃO</v>
      </c>
      <c r="K39" s="5">
        <f>IFERROR(__xludf.DUMMYFUNCTION("""COMPUTED_VALUE"""),156002.18000000005)</f>
        <v>156002.18</v>
      </c>
      <c r="L39" s="1" t="str">
        <f>IFERROR(__xludf.DUMMYFUNCTION("""COMPUTED_VALUE"""),"NATHYSSIA VIRGINIA LIMA DE ARRUDA")</f>
        <v>NATHYSSIA VIRGINIA LIMA DE ARRUDA</v>
      </c>
      <c r="M39" s="1" t="str">
        <f>IFERROR(__xludf.DUMMYFUNCTION("""COMPUTED_VALUE"""),"SACIS")</f>
        <v>SACIS</v>
      </c>
      <c r="N39" s="1"/>
      <c r="O39" s="1"/>
    </row>
    <row r="40">
      <c r="A40" s="1">
        <f>IFERROR(__xludf.DUMMYFUNCTION("""COMPUTED_VALUE"""),39.0)</f>
        <v>39</v>
      </c>
      <c r="B40" s="1" t="str">
        <f>IFERROR(__xludf.DUMMYFUNCTION("""COMPUTED_VALUE"""),"020/2025")</f>
        <v>020/2025</v>
      </c>
      <c r="C40" s="1" t="str">
        <f>IFERROR(__xludf.DUMMYFUNCTION("""COMPUTED_VALUE"""),"SETASC-PRO-2025/05658")</f>
        <v>SETASC-PRO-2025/05658</v>
      </c>
      <c r="D40" s="1" t="str">
        <f>IFERROR(__xludf.DUMMYFUNCTION("""COMPUTED_VALUE"""),"VTPRINT OUTDOOR E GRÁFICA LTDA")</f>
        <v>VTPRINT OUTDOOR E GRÁFICA LTDA</v>
      </c>
      <c r="E40" s="1" t="str">
        <f>IFERROR(__xludf.DUMMYFUNCTION("""COMPUTED_VALUE"""),"O objeto do presente instrumento é a contratação de empresa especializada na prestação de serviços em eventos, sendo SACOLAS PARA EMBALAGENS PERSONALIZADAS, conforme descrições; quantitativos; condições e exigências estabelecidas no instrumento contratual"&amp;".")</f>
        <v>O objeto do presente instrumento é a contratação de empresa especializada na prestação de serviços em eventos, sendo SACOLAS PARA EMBALAGENS PERSONALIZADAS, conforme descrições; quantitativos; condições e exigências estabelecidas no instrumento contratual.</v>
      </c>
      <c r="F40" s="1" t="str">
        <f>IFERROR(__xludf.DUMMYFUNCTION("""COMPUTED_VALUE"""),"14/05/2025 a 13/05/2026")</f>
        <v>14/05/2025 a 13/05/2026</v>
      </c>
      <c r="G40" s="1">
        <f>IFERROR(__xludf.DUMMYFUNCTION("""COMPUTED_VALUE"""),30.0)</f>
        <v>30</v>
      </c>
      <c r="H40" s="5">
        <f>IFERROR(__xludf.DUMMYFUNCTION("""COMPUTED_VALUE"""),242203.75)</f>
        <v>242203.75</v>
      </c>
      <c r="I40" s="5" t="str">
        <f>IFERROR(__xludf.DUMMYFUNCTION("""COMPUTED_VALUE"""),"DEMANDA")</f>
        <v>DEMANDA</v>
      </c>
      <c r="J40" s="1" t="str">
        <f>IFERROR(__xludf.DUMMYFUNCTION("""COMPUTED_VALUE"""),"NÃO")</f>
        <v>NÃO</v>
      </c>
      <c r="K40" s="5">
        <f>IFERROR(__xludf.DUMMYFUNCTION("""COMPUTED_VALUE"""),110250.0)</f>
        <v>110250</v>
      </c>
      <c r="L40" s="1" t="str">
        <f>IFERROR(__xludf.DUMMYFUNCTION("""COMPUTED_VALUE"""),"PRISCILA CONSANI DAS MERCÊS OLIVEIRA")</f>
        <v>PRISCILA CONSANI DAS MERCÊS OLIVEIRA</v>
      </c>
      <c r="M40" s="1" t="str">
        <f>IFERROR(__xludf.DUMMYFUNCTION("""COMPUTED_VALUE"""),"SACIS")</f>
        <v>SACIS</v>
      </c>
      <c r="N40" s="1"/>
      <c r="O40" s="1"/>
    </row>
    <row r="41">
      <c r="A41" s="1">
        <f>IFERROR(__xludf.DUMMYFUNCTION("""COMPUTED_VALUE"""),40.0)</f>
        <v>40</v>
      </c>
      <c r="B41" s="1" t="str">
        <f>IFERROR(__xludf.DUMMYFUNCTION("""COMPUTED_VALUE"""),"019/2025")</f>
        <v>019/2025</v>
      </c>
      <c r="C41" s="1" t="str">
        <f>IFERROR(__xludf.DUMMYFUNCTION("""COMPUTED_VALUE"""),"SETASC-PRO-2025/03345")</f>
        <v>SETASC-PRO-2025/03345</v>
      </c>
      <c r="D41" s="1" t="str">
        <f>IFERROR(__xludf.DUMMYFUNCTION("""COMPUTED_VALUE"""),"EMPRESA AC EQUIPAMENTOS E ELETRODOMÉSTICOS LTDA")</f>
        <v>EMPRESA AC EQUIPAMENTOS E ELETRODOMÉSTICOS LTDA</v>
      </c>
      <c r="E41" s="1" t="str">
        <f>IFERROR(__xludf.DUMMYFUNCTION("""COMPUTED_VALUE"""),"O objeto do presente instrumento refere-se à aquisição de
material permanente, sendo eletrodomésticos (refrigerador duplex), para
atender às demandas da Secretaria de Estado de Assistência Social e
Cidadania - SETASC/MT.")</f>
        <v>O objeto do presente instrumento refere-se à aquisição de
material permanente, sendo eletrodomésticos (refrigerador duplex), para
atender às demandas da Secretaria de Estado de Assistência Social e
Cidadania - SETASC/MT.</v>
      </c>
      <c r="F41" s="1" t="str">
        <f>IFERROR(__xludf.DUMMYFUNCTION("""COMPUTED_VALUE"""),"14/05/2025 a 13/05/2026")</f>
        <v>14/05/2025 a 13/05/2026</v>
      </c>
      <c r="G41" s="1">
        <f>IFERROR(__xludf.DUMMYFUNCTION("""COMPUTED_VALUE"""),52.0)</f>
        <v>52</v>
      </c>
      <c r="H41" s="5">
        <f>IFERROR(__xludf.DUMMYFUNCTION("""COMPUTED_VALUE"""),22683.92)</f>
        <v>22683.92</v>
      </c>
      <c r="I41" s="5" t="str">
        <f>IFERROR(__xludf.DUMMYFUNCTION("""COMPUTED_VALUE"""),"DEMANDA")</f>
        <v>DEMANDA</v>
      </c>
      <c r="J41" s="1" t="str">
        <f>IFERROR(__xludf.DUMMYFUNCTION("""COMPUTED_VALUE"""),"NÃO")</f>
        <v>NÃO</v>
      </c>
      <c r="K41" s="5">
        <f>IFERROR(__xludf.DUMMYFUNCTION("""COMPUTED_VALUE"""),14177.449999999999)</f>
        <v>14177.45</v>
      </c>
      <c r="L41" s="1" t="str">
        <f>IFERROR(__xludf.DUMMYFUNCTION("""COMPUTED_VALUE"""),"JIOVANE BRANDÃO DE SOUZA")</f>
        <v>JIOVANE BRANDÃO DE SOUZA</v>
      </c>
      <c r="M41" s="1" t="str">
        <f>IFERROR(__xludf.DUMMYFUNCTION("""COMPUTED_VALUE"""),"SAADS")</f>
        <v>SAADS</v>
      </c>
      <c r="N41" s="1"/>
      <c r="O41" s="1"/>
    </row>
    <row r="42">
      <c r="A42" s="1">
        <f>IFERROR(__xludf.DUMMYFUNCTION("""COMPUTED_VALUE"""),41.0)</f>
        <v>41</v>
      </c>
      <c r="B42" s="1" t="str">
        <f>IFERROR(__xludf.DUMMYFUNCTION("""COMPUTED_VALUE"""),"018/2025")</f>
        <v>018/2025</v>
      </c>
      <c r="C42" s="1" t="str">
        <f>IFERROR(__xludf.DUMMYFUNCTION("""COMPUTED_VALUE"""),"SETASC-PRO-2025/05456")</f>
        <v>SETASC-PRO-2025/05456</v>
      </c>
      <c r="D42" s="1" t="str">
        <f>IFERROR(__xludf.DUMMYFUNCTION("""COMPUTED_VALUE"""),"SSG SOLUÇÕES LTDA")</f>
        <v>SSG SOLUÇÕES LTDA</v>
      </c>
      <c r="E42" s="1" t="str">
        <f>IFERROR(__xludf.DUMMYFUNCTION("""COMPUTED_VALUE"""),"objeto do presente instrumento refere-se à copos descartáveis
de 50 e 180 ml, para atender a SETASC e suas unidades descentralizadas.")</f>
        <v>objeto do presente instrumento refere-se à copos descartáveis
de 50 e 180 ml, para atender a SETASC e suas unidades descentralizadas.</v>
      </c>
      <c r="F42" s="1" t="str">
        <f>IFERROR(__xludf.DUMMYFUNCTION("""COMPUTED_VALUE"""),"15/05/2025 a 14/05/2026")</f>
        <v>15/05/2025 a 14/05/2026</v>
      </c>
      <c r="G42" s="1">
        <f>IFERROR(__xludf.DUMMYFUNCTION("""COMPUTED_VALUE"""),30.0)</f>
        <v>30</v>
      </c>
      <c r="H42" s="5">
        <f>IFERROR(__xludf.DUMMYFUNCTION("""COMPUTED_VALUE"""),34089.93)</f>
        <v>34089.93</v>
      </c>
      <c r="I42" s="5" t="str">
        <f>IFERROR(__xludf.DUMMYFUNCTION("""COMPUTED_VALUE"""),"DEMANDA")</f>
        <v>DEMANDA</v>
      </c>
      <c r="J42" s="1" t="str">
        <f>IFERROR(__xludf.DUMMYFUNCTION("""COMPUTED_VALUE"""),"NÃO")</f>
        <v>NÃO</v>
      </c>
      <c r="K42" s="5">
        <f>IFERROR(__xludf.DUMMYFUNCTION("""COMPUTED_VALUE"""),27628.28)</f>
        <v>27628.28</v>
      </c>
      <c r="L42" s="1" t="str">
        <f>IFERROR(__xludf.DUMMYFUNCTION("""COMPUTED_VALUE"""),"SANDRA REGINA GUTIERRES")</f>
        <v>SANDRA REGINA GUTIERRES</v>
      </c>
      <c r="M42" s="1" t="str">
        <f>IFERROR(__xludf.DUMMYFUNCTION("""COMPUTED_VALUE"""),"SAADS")</f>
        <v>SAADS</v>
      </c>
      <c r="N42" s="1"/>
      <c r="O42" s="1"/>
    </row>
    <row r="43">
      <c r="A43" s="1">
        <f>IFERROR(__xludf.DUMMYFUNCTION("""COMPUTED_VALUE"""),42.0)</f>
        <v>42</v>
      </c>
      <c r="B43" s="1" t="str">
        <f>IFERROR(__xludf.DUMMYFUNCTION("""COMPUTED_VALUE"""),"017/2025")</f>
        <v>017/2025</v>
      </c>
      <c r="C43" s="1" t="str">
        <f>IFERROR(__xludf.DUMMYFUNCTION("""COMPUTED_VALUE"""),"SETASC-PRO-2025/05455")</f>
        <v>SETASC-PRO-2025/05455</v>
      </c>
      <c r="D43" s="1" t="str">
        <f>IFERROR(__xludf.DUMMYFUNCTION("""COMPUTED_VALUE"""),"PRIME COMERCIO E CONSULTORIA EM
LICITAÇÃO LTDA")</f>
        <v>PRIME COMERCIO E CONSULTORIA EM
LICITAÇÃO LTDA</v>
      </c>
      <c r="E43" s="1" t="str">
        <f>IFERROR(__xludf.DUMMYFUNCTION("""COMPUTED_VALUE"""),"O objeto do presente instrumento refere-se à Aquisição de café e chá mate, para atender a SETASC e suas unidades descentralizadas.")</f>
        <v>O objeto do presente instrumento refere-se à Aquisição de café e chá mate, para atender a SETASC e suas unidades descentralizadas.</v>
      </c>
      <c r="F43" s="1" t="str">
        <f>IFERROR(__xludf.DUMMYFUNCTION("""COMPUTED_VALUE"""),"09/05/2025 a 08/05/2026")</f>
        <v>09/05/2025 a 08/05/2026</v>
      </c>
      <c r="G43" s="1">
        <f>IFERROR(__xludf.DUMMYFUNCTION("""COMPUTED_VALUE"""),30.0)</f>
        <v>30</v>
      </c>
      <c r="H43" s="5">
        <f>IFERROR(__xludf.DUMMYFUNCTION("""COMPUTED_VALUE"""),100000.0)</f>
        <v>100000</v>
      </c>
      <c r="I43" s="5" t="str">
        <f>IFERROR(__xludf.DUMMYFUNCTION("""COMPUTED_VALUE"""),"DEMANDA")</f>
        <v>DEMANDA</v>
      </c>
      <c r="J43" s="1" t="str">
        <f>IFERROR(__xludf.DUMMYFUNCTION("""COMPUTED_VALUE"""),"NÃO")</f>
        <v>NÃO</v>
      </c>
      <c r="K43" s="5">
        <f>IFERROR(__xludf.DUMMYFUNCTION("""COMPUTED_VALUE"""),64500.0)</f>
        <v>64500</v>
      </c>
      <c r="L43" s="1" t="str">
        <f>IFERROR(__xludf.DUMMYFUNCTION("""COMPUTED_VALUE"""),"JULLIA OLIVEIRA FORTES")</f>
        <v>JULLIA OLIVEIRA FORTES</v>
      </c>
      <c r="M43" s="1" t="str">
        <f>IFERROR(__xludf.DUMMYFUNCTION("""COMPUTED_VALUE"""),"SAADS")</f>
        <v>SAADS</v>
      </c>
      <c r="N43" s="1"/>
      <c r="O43" s="1"/>
    </row>
    <row r="44">
      <c r="A44" s="1">
        <f>IFERROR(__xludf.DUMMYFUNCTION("""COMPUTED_VALUE"""),43.0)</f>
        <v>43</v>
      </c>
      <c r="B44" s="1" t="str">
        <f>IFERROR(__xludf.DUMMYFUNCTION("""COMPUTED_VALUE"""),"016/2025")</f>
        <v>016/2025</v>
      </c>
      <c r="C44" s="1" t="str">
        <f>IFERROR(__xludf.DUMMYFUNCTION("""COMPUTED_VALUE"""),"SETASC-PRO-2024/09328")</f>
        <v>SETASC-PRO-2024/09328</v>
      </c>
      <c r="D44" s="1" t="str">
        <f>IFERROR(__xludf.DUMMYFUNCTION("""COMPUTED_VALUE"""),"EXPECTA SERVIÇOS DE ENGENHARIA LTDA.")</f>
        <v>EXPECTA SERVIÇOS DE ENGENHARIA LTDA.</v>
      </c>
      <c r="E44" s="1" t="str">
        <f>IFERROR(__xludf.DUMMYFUNCTION("""COMPUTED_VALUE"""),"O objeto do presente instrumento refere-se à contratação decorrente do Credenciamento nº 001/2023/SEPLAG/SINFRA, para CREDENCIAMENTO de pessoas jurídicas para execução de serviços de reforma e intervenções legais, por meio de obras e serviços comuns de en"&amp;"genharia, nos imóveis da Secretaria de Estado de Assistência Social e Cidadania - SETASC/MT, em que abrigam a sede do PROCON  edo RESTAURANTE PRATO POPULAR, conforme condições e esxigências estabelecidas no Edital e seus anexos.")</f>
        <v>O objeto do presente instrumento refere-se à contratação decorrente do Credenciamento nº 001/2023/SEPLAG/SINFRA, para CREDENCIAMENTO de pessoas jurídicas para execução de serviços de reforma e intervenções legais, por meio de obras e serviços comuns de engenharia, nos imóveis da Secretaria de Estado de Assistência Social e Cidadania - SETASC/MT, em que abrigam a sede do PROCON  edo RESTAURANTE PRATO POPULAR, conforme condições e esxigências estabelecidas no Edital e seus anexos.</v>
      </c>
      <c r="F44" s="1" t="str">
        <f>IFERROR(__xludf.DUMMYFUNCTION("""COMPUTED_VALUE"""),"24/06/2025 a 23/06/2027")</f>
        <v>24/06/2025 a 23/06/2027</v>
      </c>
      <c r="G44" s="1">
        <f>IFERROR(__xludf.DUMMYFUNCTION("""COMPUTED_VALUE"""),51.0)</f>
        <v>51</v>
      </c>
      <c r="H44" s="5">
        <f>IFERROR(__xludf.DUMMYFUNCTION("""COMPUTED_VALUE"""),2.58238823E7)</f>
        <v>25823882.3</v>
      </c>
      <c r="I44" s="5" t="str">
        <f>IFERROR(__xludf.DUMMYFUNCTION("""COMPUTED_VALUE"""),"DEMANDA")</f>
        <v>DEMANDA</v>
      </c>
      <c r="J44" s="1" t="str">
        <f>IFERROR(__xludf.DUMMYFUNCTION("""COMPUTED_VALUE"""),"NÃO")</f>
        <v>NÃO</v>
      </c>
      <c r="K44" s="5">
        <f>IFERROR(__xludf.DUMMYFUNCTION("""COMPUTED_VALUE"""),2.58238823E7)</f>
        <v>25823882.3</v>
      </c>
      <c r="L44" s="1" t="str">
        <f>IFERROR(__xludf.DUMMYFUNCTION("""COMPUTED_VALUE"""),"JOSÉ TIAGO FUNABASHI DOS SANTOS")</f>
        <v>JOSÉ TIAGO FUNABASHI DOS SANTOS</v>
      </c>
      <c r="M44" s="1" t="str">
        <f>IFERROR(__xludf.DUMMYFUNCTION("""COMPUTED_VALUE"""),"PROCON/SAADS")</f>
        <v>PROCON/SAADS</v>
      </c>
      <c r="N44" s="1"/>
      <c r="O44" s="1"/>
    </row>
    <row r="45">
      <c r="A45" s="1">
        <f>IFERROR(__xludf.DUMMYFUNCTION("""COMPUTED_VALUE"""),44.0)</f>
        <v>44</v>
      </c>
      <c r="B45" s="1" t="str">
        <f>IFERROR(__xludf.DUMMYFUNCTION("""COMPUTED_VALUE"""),"015/2025")</f>
        <v>015/2025</v>
      </c>
      <c r="C45" s="1" t="str">
        <f>IFERROR(__xludf.DUMMYFUNCTION("""COMPUTED_VALUE"""),"SETASC-PRO-2025/03047 ")</f>
        <v>SETASC-PRO-2025/03047 </v>
      </c>
      <c r="D45" s="1" t="str">
        <f>IFERROR(__xludf.DUMMYFUNCTION("""COMPUTED_VALUE"""),"INCOESTE CONSTRUÇÕES E EMPREENDIMENTOS E METRO ENGENHARIA LTDA.")</f>
        <v>INCOESTE CONSTRUÇÕES E EMPREENDIMENTOS E METRO ENGENHARIA LTDA.</v>
      </c>
      <c r="E45" s="1" t="str">
        <f>IFERROR(__xludf.DUMMYFUNCTION("""COMPUTED_VALUE"""),"O objeto do presente instrumento consiste na locação do imóvel, localizado na Avenida General Ramiro de Noronha, número 294-B, bairro Jardim Cuiabá, Município de Cuiabá/MT, objeto da matrícula n° 27.192, Cartório do 7° Ofício de Registro de Imóveis da qua"&amp;"rta circunscrição imobiliária da cidade de Cuiabá/MT, para abrigar as instalações temporárias da sede da Secretaria Adjunta de Proteção e Defesa do Consumidor
- PROCON/MT.")</f>
        <v>O objeto do presente instrumento consiste na locação do imóvel, localizado na Avenida General Ramiro de Noronha, número 294-B, bairro Jardim Cuiabá, Município de Cuiabá/MT, objeto da matrícula n° 27.192, Cartório do 7° Ofício de Registro de Imóveis da quarta circunscrição imobiliária da cidade de Cuiabá/MT, para abrigar as instalações temporárias da sede da Secretaria Adjunta de Proteção e Defesa do Consumidor
- PROCON/MT.</v>
      </c>
      <c r="F45" s="1" t="str">
        <f>IFERROR(__xludf.DUMMYFUNCTION("""COMPUTED_VALUE"""),"08/07/2025 a 07/07/2027")</f>
        <v>08/07/2025 a 07/07/2027</v>
      </c>
      <c r="G45" s="1">
        <f>IFERROR(__xludf.DUMMYFUNCTION("""COMPUTED_VALUE"""),39.0)</f>
        <v>39</v>
      </c>
      <c r="H45" s="5">
        <f>IFERROR(__xludf.DUMMYFUNCTION("""COMPUTED_VALUE"""),1440000.0)</f>
        <v>1440000</v>
      </c>
      <c r="I45" s="5" t="str">
        <f>IFERROR(__xludf.DUMMYFUNCTION("""COMPUTED_VALUE"""),"DEMANDA")</f>
        <v>DEMANDA</v>
      </c>
      <c r="J45" s="1" t="str">
        <f>IFERROR(__xludf.DUMMYFUNCTION("""COMPUTED_VALUE"""),"NÃO")</f>
        <v>NÃO</v>
      </c>
      <c r="K45" s="5">
        <f>IFERROR(__xludf.DUMMYFUNCTION("""COMPUTED_VALUE"""),1440000.0)</f>
        <v>1440000</v>
      </c>
      <c r="L45" s="1" t="str">
        <f>IFERROR(__xludf.DUMMYFUNCTION("""COMPUTED_VALUE"""),"LEANDRO DI GIACOMO MARIANO DE MORAES")</f>
        <v>LEANDRO DI GIACOMO MARIANO DE MORAES</v>
      </c>
      <c r="M45" s="1" t="str">
        <f>IFERROR(__xludf.DUMMYFUNCTION("""COMPUTED_VALUE"""),"PROCON")</f>
        <v>PROCON</v>
      </c>
      <c r="N45" s="1"/>
      <c r="O45" s="1"/>
    </row>
    <row r="46">
      <c r="A46" s="1">
        <f>IFERROR(__xludf.DUMMYFUNCTION("""COMPUTED_VALUE"""),45.0)</f>
        <v>45</v>
      </c>
      <c r="B46" s="1" t="str">
        <f>IFERROR(__xludf.DUMMYFUNCTION("""COMPUTED_VALUE"""),"013/2025")</f>
        <v>013/2025</v>
      </c>
      <c r="C46" s="1" t="str">
        <f>IFERROR(__xludf.DUMMYFUNCTION("""COMPUTED_VALUE"""),"SETASC-PRO-2024/11439")</f>
        <v>SETASC-PRO-2024/11439</v>
      </c>
      <c r="D46" s="1" t="str">
        <f>IFERROR(__xludf.DUMMYFUNCTION("""COMPUTED_VALUE"""),"SERRA MOBILE INDUSTRIA E COMERCIO LTDA")</f>
        <v>SERRA MOBILE INDUSTRIA E COMERCIO LTDA</v>
      </c>
      <c r="E46" s="1" t="str">
        <f>IFERROR(__xludf.DUMMYFUNCTION("""COMPUTED_VALUE"""),"O objeto do presente instrumento refere-se à aquisição de Bens Mobiliários (cadeira, poltrona, longarina e sofá) para atendimento às demandas da SECRETARIA DE ESTADO DE ASSISTÊNCIA SOCIAL E CIDADANIA – SETASC/MT, no âmbito de Cuiabá e Várzea Grande, confo"&amp;"rme especificações e condições técnicas constantes no Edital e em seus anexos, que deriva da adesão à Ata de Registro de Preços nº 011/2024/SEPLAG, decorrente do Pregão Eletrônico nº 005/2024/SEPLAG, nas condições estabelecidas no Termo de Referência.")</f>
        <v>O objeto do presente instrumento refere-se à aquisição de Bens Mobiliários (cadeira, poltrona, longarina e sofá) para atendimento às demandas da SECRETARIA DE ESTADO DE ASSISTÊNCIA SOCIAL E CIDADANIA – SETASC/MT, no âmbito de Cuiabá e Várzea Grande, conforme especificações e condições técnicas constantes no Edital e em seus anexos, que deriva da adesão à Ata de Registro de Preços nº 011/2024/SEPLAG, decorrente do Pregão Eletrônico nº 005/2024/SEPLAG, nas condições estabelecidas no Termo de Referência.</v>
      </c>
      <c r="F46" s="1" t="str">
        <f>IFERROR(__xludf.DUMMYFUNCTION("""COMPUTED_VALUE"""),"16/04/2025 a 15/04/2026")</f>
        <v>16/04/2025 a 15/04/2026</v>
      </c>
      <c r="G46" s="1">
        <f>IFERROR(__xludf.DUMMYFUNCTION("""COMPUTED_VALUE"""),52.0)</f>
        <v>52</v>
      </c>
      <c r="H46" s="5">
        <f>IFERROR(__xludf.DUMMYFUNCTION("""COMPUTED_VALUE"""),11569.6)</f>
        <v>11569.6</v>
      </c>
      <c r="I46" s="5" t="str">
        <f>IFERROR(__xludf.DUMMYFUNCTION("""COMPUTED_VALUE"""),"DEMANDA")</f>
        <v>DEMANDA</v>
      </c>
      <c r="J46" s="1" t="str">
        <f>IFERROR(__xludf.DUMMYFUNCTION("""COMPUTED_VALUE"""),"NÃO")</f>
        <v>NÃO</v>
      </c>
      <c r="K46" s="5">
        <f>IFERROR(__xludf.DUMMYFUNCTION("""COMPUTED_VALUE"""),0.0)</f>
        <v>0</v>
      </c>
      <c r="L46" s="1" t="str">
        <f>IFERROR(__xludf.DUMMYFUNCTION("""COMPUTED_VALUE"""),"GUSTAVO TONET BASSANI")</f>
        <v>GUSTAVO TONET BASSANI</v>
      </c>
      <c r="M46" s="1" t="str">
        <f>IFERROR(__xludf.DUMMYFUNCTION("""COMPUTED_VALUE"""),"SAADS")</f>
        <v>SAADS</v>
      </c>
      <c r="N46" s="1"/>
      <c r="O46" s="1"/>
    </row>
    <row r="47">
      <c r="A47" s="1">
        <f>IFERROR(__xludf.DUMMYFUNCTION("""COMPUTED_VALUE"""),46.0)</f>
        <v>46</v>
      </c>
      <c r="B47" s="1" t="str">
        <f>IFERROR(__xludf.DUMMYFUNCTION("""COMPUTED_VALUE"""),"012/2025")</f>
        <v>012/2025</v>
      </c>
      <c r="C47" s="1" t="str">
        <f>IFERROR(__xludf.DUMMYFUNCTION("""COMPUTED_VALUE"""),"SETASC-PRO-2024/11438 ")</f>
        <v>SETASC-PRO-2024/11438 </v>
      </c>
      <c r="D47" s="1" t="str">
        <f>IFERROR(__xludf.DUMMYFUNCTION("""COMPUTED_VALUE"""),"MILANFLEX INDUSTRIA E COMERCIO DE MÓVEIS E EQUIPAMENTOS LTDA.")</f>
        <v>MILANFLEX INDUSTRIA E COMERCIO DE MÓVEIS E EQUIPAMENTOS LTDA.</v>
      </c>
      <c r="E47" s="1" t="str">
        <f>IFERROR(__xludf.DUMMYFUNCTION("""COMPUTED_VALUE"""),"O objeto do presente instrumento refere-se à aquisição de Bens Mobiliários (cadeira, poltrona, longarina e sofá) para atendimento às demandas dos SECRETARIA DE ESTADO DE ASSISTÊNCIA SOCIAL E CIDADANIA – SETASC/MT, no âmbito de Cuiabá e Várzea Grande, conf"&amp;"orme especificações e condições técnicas constantes no Edital e em seus anexos, que deriva da adesão à Ata de Registro de Preços nº 011/2024/SEPLAG, decorrente do Pregão Eletrônico nº 005/2024/SEPLAG, nas condições estabelecidas no Termo de Referência.")</f>
        <v>O objeto do presente instrumento refere-se à aquisição de Bens Mobiliários (cadeira, poltrona, longarina e sofá) para atendimento às demandas dos SECRETARIA DE ESTADO DE ASSISTÊNCIA SOCIAL E CIDADANIA – SETASC/MT, no âmbito de Cuiabá e Várzea Grande, conforme especificações e condições técnicas constantes no Edital e em seus anexos, que deriva da adesão à Ata de Registro de Preços nº 011/2024/SEPLAG, decorrente do Pregão Eletrônico nº 005/2024/SEPLAG, nas condições estabelecidas no Termo de Referência.</v>
      </c>
      <c r="F47" s="1" t="str">
        <f>IFERROR(__xludf.DUMMYFUNCTION("""COMPUTED_VALUE"""),"16/04/2025 a 15/04/2026")</f>
        <v>16/04/2025 a 15/04/2026</v>
      </c>
      <c r="G47" s="1">
        <f>IFERROR(__xludf.DUMMYFUNCTION("""COMPUTED_VALUE"""),52.0)</f>
        <v>52</v>
      </c>
      <c r="H47" s="5">
        <f>IFERROR(__xludf.DUMMYFUNCTION("""COMPUTED_VALUE"""),1156722.0)</f>
        <v>1156722</v>
      </c>
      <c r="I47" s="5" t="str">
        <f>IFERROR(__xludf.DUMMYFUNCTION("""COMPUTED_VALUE"""),"DEMANDA")</f>
        <v>DEMANDA</v>
      </c>
      <c r="J47" s="1" t="str">
        <f>IFERROR(__xludf.DUMMYFUNCTION("""COMPUTED_VALUE"""),"NÃO")</f>
        <v>NÃO</v>
      </c>
      <c r="K47" s="5">
        <f>IFERROR(__xludf.DUMMYFUNCTION("""COMPUTED_VALUE"""),514592.0)</f>
        <v>514592</v>
      </c>
      <c r="L47" s="1" t="str">
        <f>IFERROR(__xludf.DUMMYFUNCTION("""COMPUTED_VALUE"""),"GILMAR FRANCISCO MILAN")</f>
        <v>GILMAR FRANCISCO MILAN</v>
      </c>
      <c r="M47" s="1" t="str">
        <f>IFERROR(__xludf.DUMMYFUNCTION("""COMPUTED_VALUE"""),"SAADS")</f>
        <v>SAADS</v>
      </c>
      <c r="N47" s="1"/>
      <c r="O47" s="1"/>
    </row>
    <row r="48">
      <c r="A48" s="1">
        <f>IFERROR(__xludf.DUMMYFUNCTION("""COMPUTED_VALUE"""),47.0)</f>
        <v>47</v>
      </c>
      <c r="B48" s="1" t="str">
        <f>IFERROR(__xludf.DUMMYFUNCTION("""COMPUTED_VALUE"""),"011/2025")</f>
        <v>011/2025</v>
      </c>
      <c r="C48" s="1" t="str">
        <f>IFERROR(__xludf.DUMMYFUNCTION("""COMPUTED_VALUE"""),"SETASC-PRO-2025/00411")</f>
        <v>SETASC-PRO-2025/00411</v>
      </c>
      <c r="D48" s="1" t="str">
        <f>IFERROR(__xludf.DUMMYFUNCTION("""COMPUTED_VALUE"""),"BILACORP VIAGENS E TURISMO LTDA")</f>
        <v>BILACORP VIAGENS E TURISMO LTDA</v>
      </c>
      <c r="E48" s="1" t="str">
        <f>IFERROR(__xludf.DUMMYFUNCTION("""COMPUTED_VALUE"""),"O objeto do presente instrumento é a contratação de empresa especializada na prestação de serviços de agenciamento e fornecimento de passagens aéreas nacionais e internacionais por meio de ferramenta on-line de autoagendamento (self-booking), para atender"&amp;" aos Órgãos/Entidades do Poder Executivo Estadual, nas condições estabelecidas no Termo de Referência.")</f>
        <v>O objeto do presente instrumento é a contratação de empresa especializada na prestação de serviços de agenciamento e fornecimento de passagens aéreas nacionais e internacionais por meio de ferramenta on-line de autoagendamento (self-booking), para atender aos Órgãos/Entidades do Poder Executivo Estadual, nas condições estabelecidas no Termo de Referência.</v>
      </c>
      <c r="F48" s="1" t="str">
        <f>IFERROR(__xludf.DUMMYFUNCTION("""COMPUTED_VALUE"""),"27/03/2025 a 26/03/2027")</f>
        <v>27/03/2025 a 26/03/2027</v>
      </c>
      <c r="G48" s="1">
        <f>IFERROR(__xludf.DUMMYFUNCTION("""COMPUTED_VALUE"""),33.0)</f>
        <v>33</v>
      </c>
      <c r="H48" s="5">
        <f>IFERROR(__xludf.DUMMYFUNCTION("""COMPUTED_VALUE"""),1135000.0)</f>
        <v>1135000</v>
      </c>
      <c r="I48" s="5" t="str">
        <f>IFERROR(__xludf.DUMMYFUNCTION("""COMPUTED_VALUE"""),"DEMANDA")</f>
        <v>DEMANDA</v>
      </c>
      <c r="J48" s="1" t="str">
        <f>IFERROR(__xludf.DUMMYFUNCTION("""COMPUTED_VALUE"""),"NÃO")</f>
        <v>NÃO</v>
      </c>
      <c r="K48" s="5">
        <f>IFERROR(__xludf.DUMMYFUNCTION("""COMPUTED_VALUE"""),833220.3400000001)</f>
        <v>833220.34</v>
      </c>
      <c r="L48" s="1" t="str">
        <f>IFERROR(__xludf.DUMMYFUNCTION("""COMPUTED_VALUE"""),"ELIOENAI SILVA DE OLIVEIRA")</f>
        <v>ELIOENAI SILVA DE OLIVEIRA</v>
      </c>
      <c r="M48" s="1" t="str">
        <f>IFERROR(__xludf.DUMMYFUNCTION("""COMPUTED_VALUE"""),"SAADS")</f>
        <v>SAADS</v>
      </c>
      <c r="N48" s="1"/>
      <c r="O48" s="1"/>
    </row>
    <row r="49">
      <c r="A49" s="1">
        <f>IFERROR(__xludf.DUMMYFUNCTION("""COMPUTED_VALUE"""),48.0)</f>
        <v>48</v>
      </c>
      <c r="B49" s="1" t="str">
        <f>IFERROR(__xludf.DUMMYFUNCTION("""COMPUTED_VALUE"""),"010/2025")</f>
        <v>010/2025</v>
      </c>
      <c r="C49" s="1" t="str">
        <f>IFERROR(__xludf.DUMMYFUNCTION("""COMPUTED_VALUE"""),"SETASC-PRO-2025/03894")</f>
        <v>SETASC-PRO-2025/03894</v>
      </c>
      <c r="D49" s="1" t="str">
        <f>IFERROR(__xludf.DUMMYFUNCTION("""COMPUTED_VALUE"""),"ESTHER GEDALIA SUEZ CALDERON")</f>
        <v>ESTHER GEDALIA SUEZ CALDERON</v>
      </c>
      <c r="E49" s="1" t="str">
        <f>IFERROR(__xludf.DUMMYFUNCTION("""COMPUTED_VALUE"""),"O objeto do presente instrumento refere-se à aquisição/contratação de material gráfico e de comunicação visual da SETASC – sacolas de tecido (BOLSA/ECOBAG).")</f>
        <v>O objeto do presente instrumento refere-se à aquisição/contratação de material gráfico e de comunicação visual da SETASC – sacolas de tecido (BOLSA/ECOBAG).</v>
      </c>
      <c r="F49" s="1" t="str">
        <f>IFERROR(__xludf.DUMMYFUNCTION("""COMPUTED_VALUE"""),"04/04/2025 a 03/04/2026")</f>
        <v>04/04/2025 a 03/04/2026</v>
      </c>
      <c r="G49" s="1">
        <f>IFERROR(__xludf.DUMMYFUNCTION("""COMPUTED_VALUE"""),30.0)</f>
        <v>30</v>
      </c>
      <c r="H49" s="5">
        <f>IFERROR(__xludf.DUMMYFUNCTION("""COMPUTED_VALUE"""),29886.0)</f>
        <v>29886</v>
      </c>
      <c r="I49" s="5" t="str">
        <f>IFERROR(__xludf.DUMMYFUNCTION("""COMPUTED_VALUE"""),"DEMANDA")</f>
        <v>DEMANDA</v>
      </c>
      <c r="J49" s="1" t="str">
        <f>IFERROR(__xludf.DUMMYFUNCTION("""COMPUTED_VALUE"""),"NAO")</f>
        <v>NAO</v>
      </c>
      <c r="K49" s="5">
        <f>IFERROR(__xludf.DUMMYFUNCTION("""COMPUTED_VALUE"""),21096.0)</f>
        <v>21096</v>
      </c>
      <c r="L49" s="1" t="str">
        <f>IFERROR(__xludf.DUMMYFUNCTION("""COMPUTED_VALUE"""),"ESTHER GEDALIA SUEZ CALDERON")</f>
        <v>ESTHER GEDALIA SUEZ CALDERON</v>
      </c>
      <c r="M49" s="1" t="str">
        <f>IFERROR(__xludf.DUMMYFUNCTION("""COMPUTED_VALUE"""),"SAADS")</f>
        <v>SAADS</v>
      </c>
      <c r="N49" s="1"/>
      <c r="O49" s="1"/>
    </row>
    <row r="50">
      <c r="A50" s="1">
        <f>IFERROR(__xludf.DUMMYFUNCTION("""COMPUTED_VALUE"""),49.0)</f>
        <v>49</v>
      </c>
      <c r="B50" s="1" t="str">
        <f>IFERROR(__xludf.DUMMYFUNCTION("""COMPUTED_VALUE"""),"009/2025")</f>
        <v>009/2025</v>
      </c>
      <c r="C50" s="1" t="str">
        <f>IFERROR(__xludf.DUMMYFUNCTION("""COMPUTED_VALUE"""),"SETASC-PRO-2025/03893")</f>
        <v>SETASC-PRO-2025/03893</v>
      </c>
      <c r="D50" s="1" t="str">
        <f>IFERROR(__xludf.DUMMYFUNCTION("""COMPUTED_VALUE"""),"EMKT LTDA.-ME")</f>
        <v>EMKT LTDA.-ME</v>
      </c>
      <c r="E50" s="1" t="str">
        <f>IFERROR(__xludf.DUMMYFUNCTION("""COMPUTED_VALUE"""),"O objeto do presente instrumento refere-se à aquisição/contratação de material gráfico e de comunicação visual da SETASC.")</f>
        <v>O objeto do presente instrumento refere-se à aquisição/contratação de material gráfico e de comunicação visual da SETASC.</v>
      </c>
      <c r="F50" s="1" t="str">
        <f>IFERROR(__xludf.DUMMYFUNCTION("""COMPUTED_VALUE"""),"31/03/2025 a 30/03/2026")</f>
        <v>31/03/2025 a 30/03/2026</v>
      </c>
      <c r="G50" s="1">
        <f>IFERROR(__xludf.DUMMYFUNCTION("""COMPUTED_VALUE"""),39.0)</f>
        <v>39</v>
      </c>
      <c r="H50" s="5">
        <f>IFERROR(__xludf.DUMMYFUNCTION("""COMPUTED_VALUE"""),21600.0)</f>
        <v>21600</v>
      </c>
      <c r="I50" s="5" t="str">
        <f>IFERROR(__xludf.DUMMYFUNCTION("""COMPUTED_VALUE"""),"DEMANDA")</f>
        <v>DEMANDA</v>
      </c>
      <c r="J50" s="1" t="str">
        <f>IFERROR(__xludf.DUMMYFUNCTION("""COMPUTED_VALUE"""),"NÃO")</f>
        <v>NÃO</v>
      </c>
      <c r="K50" s="5">
        <f>IFERROR(__xludf.DUMMYFUNCTION("""COMPUTED_VALUE"""),21600.0)</f>
        <v>21600</v>
      </c>
      <c r="L50" s="1" t="str">
        <f>IFERROR(__xludf.DUMMYFUNCTION("""COMPUTED_VALUE"""),"PEDRO AUGUSTO RODRIGUES MARQUES")</f>
        <v>PEDRO AUGUSTO RODRIGUES MARQUES</v>
      </c>
      <c r="M50" s="1" t="str">
        <f>IFERROR(__xludf.DUMMYFUNCTION("""COMPUTED_VALUE"""),"SAADS")</f>
        <v>SAADS</v>
      </c>
      <c r="N50" s="1"/>
      <c r="O50" s="1"/>
    </row>
    <row r="51">
      <c r="A51" s="1">
        <f>IFERROR(__xludf.DUMMYFUNCTION("""COMPUTED_VALUE"""),50.0)</f>
        <v>50</v>
      </c>
      <c r="B51" s="1" t="str">
        <f>IFERROR(__xludf.DUMMYFUNCTION("""COMPUTED_VALUE"""),"008/2025")</f>
        <v>008/2025</v>
      </c>
      <c r="C51" s="1" t="str">
        <f>IFERROR(__xludf.DUMMYFUNCTION("""COMPUTED_VALUE"""),"SETASC-PRO-2025/03890")</f>
        <v>SETASC-PRO-2025/03890</v>
      </c>
      <c r="D51" s="1" t="str">
        <f>IFERROR(__xludf.DUMMYFUNCTION("""COMPUTED_VALUE"""),"COMÉRCIO E REPRESENTAÇÕES VARDASCA LTDA.")</f>
        <v>COMÉRCIO E REPRESENTAÇÕES VARDASCA LTDA.</v>
      </c>
      <c r="E51" s="1" t="str">
        <f>IFERROR(__xludf.DUMMYFUNCTION("""COMPUTED_VALUE"""),"O objeto do presente instrumento refere-se à aquisição/contratação de material gráfico e de comunicação visual da SETASC - BACK DROPS, BANNERS, FAIXAS; BOTTONS, CRACHÁS EM PVC e PAPEL PARA IMPRESSORA EM BRAILLE.")</f>
        <v>O objeto do presente instrumento refere-se à aquisição/contratação de material gráfico e de comunicação visual da SETASC - BACK DROPS, BANNERS, FAIXAS; BOTTONS, CRACHÁS EM PVC e PAPEL PARA IMPRESSORA EM BRAILLE.</v>
      </c>
      <c r="F51" s="1" t="str">
        <f>IFERROR(__xludf.DUMMYFUNCTION("""COMPUTED_VALUE"""),"24/03/2025 A 23/03/2026")</f>
        <v>24/03/2025 A 23/03/2026</v>
      </c>
      <c r="G51" s="1">
        <f>IFERROR(__xludf.DUMMYFUNCTION("""COMPUTED_VALUE"""),30.0)</f>
        <v>30</v>
      </c>
      <c r="H51" s="5">
        <f>IFERROR(__xludf.DUMMYFUNCTION("""COMPUTED_VALUE"""),427851.52)</f>
        <v>427851.52</v>
      </c>
      <c r="I51" s="5" t="str">
        <f>IFERROR(__xludf.DUMMYFUNCTION("""COMPUTED_VALUE"""),"DEMANDA")</f>
        <v>DEMANDA</v>
      </c>
      <c r="J51" s="1" t="str">
        <f>IFERROR(__xludf.DUMMYFUNCTION("""COMPUTED_VALUE"""),"NÃO")</f>
        <v>NÃO</v>
      </c>
      <c r="K51" s="5">
        <f>IFERROR(__xludf.DUMMYFUNCTION("""COMPUTED_VALUE"""),243189.70067600004)</f>
        <v>243189.7007</v>
      </c>
      <c r="L51" s="1" t="str">
        <f>IFERROR(__xludf.DUMMYFUNCTION("""COMPUTED_VALUE"""),"ALCEU VIEIRA VARDASCA NETO")</f>
        <v>ALCEU VIEIRA VARDASCA NETO</v>
      </c>
      <c r="M51" s="1" t="str">
        <f>IFERROR(__xludf.DUMMYFUNCTION("""COMPUTED_VALUE"""),"SAADS")</f>
        <v>SAADS</v>
      </c>
      <c r="N51" s="1"/>
      <c r="O51" s="1"/>
    </row>
    <row r="52">
      <c r="A52" s="1">
        <f>IFERROR(__xludf.DUMMYFUNCTION("""COMPUTED_VALUE"""),51.0)</f>
        <v>51</v>
      </c>
      <c r="B52" s="1" t="str">
        <f>IFERROR(__xludf.DUMMYFUNCTION("""COMPUTED_VALUE"""),"007/2025")</f>
        <v>007/2025</v>
      </c>
      <c r="C52" s="1" t="str">
        <f>IFERROR(__xludf.DUMMYFUNCTION("""COMPUTED_VALUE"""),"SETASC-PRO-2025/03888")</f>
        <v>SETASC-PRO-2025/03888</v>
      </c>
      <c r="D52" s="1" t="str">
        <f>IFERROR(__xludf.DUMMYFUNCTION("""COMPUTED_VALUE"""),"VTPRINT OUTDOOR E GRÁFICA LTDA.")</f>
        <v>VTPRINT OUTDOOR E GRÁFICA LTDA.</v>
      </c>
      <c r="E52" s="1" t="str">
        <f>IFERROR(__xludf.DUMMYFUNCTION("""COMPUTED_VALUE"""),"O objeto do presente instrumento refere-se à aquisição/contratação de material gráfico e de comunicação visual da SETASC – blocos, cartazes, certificados, convites, crachás em papelão, envelopes, folders, panfletos pastas e ventarolas.")</f>
        <v>O objeto do presente instrumento refere-se à aquisição/contratação de material gráfico e de comunicação visual da SETASC – blocos, cartazes, certificados, convites, crachás em papelão, envelopes, folders, panfletos pastas e ventarolas.</v>
      </c>
      <c r="F52" s="1" t="str">
        <f>IFERROR(__xludf.DUMMYFUNCTION("""COMPUTED_VALUE"""),"26/03/2025 A 25/03/2026")</f>
        <v>26/03/2025 A 25/03/2026</v>
      </c>
      <c r="G52" s="1">
        <f>IFERROR(__xludf.DUMMYFUNCTION("""COMPUTED_VALUE"""),30.0)</f>
        <v>30</v>
      </c>
      <c r="H52" s="5">
        <f>IFERROR(__xludf.DUMMYFUNCTION("""COMPUTED_VALUE"""),320583.0)</f>
        <v>320583</v>
      </c>
      <c r="I52" s="5" t="str">
        <f>IFERROR(__xludf.DUMMYFUNCTION("""COMPUTED_VALUE"""),"DEMANDA")</f>
        <v>DEMANDA</v>
      </c>
      <c r="J52" s="1" t="str">
        <f>IFERROR(__xludf.DUMMYFUNCTION("""COMPUTED_VALUE"""),"NÃO")</f>
        <v>NÃO</v>
      </c>
      <c r="K52" s="5">
        <f>IFERROR(__xludf.DUMMYFUNCTION("""COMPUTED_VALUE"""),269844.59)</f>
        <v>269844.59</v>
      </c>
      <c r="L52" s="1" t="str">
        <f>IFERROR(__xludf.DUMMYFUNCTION("""COMPUTED_VALUE"""),"PRISCILA CONSANI DAS MERCÊS OLIVEIRA")</f>
        <v>PRISCILA CONSANI DAS MERCÊS OLIVEIRA</v>
      </c>
      <c r="M52" s="1" t="str">
        <f>IFERROR(__xludf.DUMMYFUNCTION("""COMPUTED_VALUE"""),"SAADS")</f>
        <v>SAADS</v>
      </c>
      <c r="N52" s="1"/>
      <c r="O52" s="1"/>
    </row>
    <row r="53">
      <c r="A53" s="1">
        <f>IFERROR(__xludf.DUMMYFUNCTION("""COMPUTED_VALUE"""),52.0)</f>
        <v>52</v>
      </c>
      <c r="B53" s="1" t="str">
        <f>IFERROR(__xludf.DUMMYFUNCTION("""COMPUTED_VALUE"""),"006/2025")</f>
        <v>006/2025</v>
      </c>
      <c r="C53" s="1" t="str">
        <f>IFERROR(__xludf.DUMMYFUNCTION("""COMPUTED_VALUE"""),"SETASC-PRO-2025/03798")</f>
        <v>SETASC-PRO-2025/03798</v>
      </c>
      <c r="D53" s="1" t="str">
        <f>IFERROR(__xludf.DUMMYFUNCTION("""COMPUTED_VALUE"""),"4D DESIGNER GRÁFICA EDITORA E COMUNICAÇÃO VISUAL EIRELI")</f>
        <v>4D DESIGNER GRÁFICA EDITORA E COMUNICAÇÃO VISUAL EIRELI</v>
      </c>
      <c r="E53" s="1" t="str">
        <f>IFERROR(__xludf.DUMMYFUNCTION("""COMPUTED_VALUE"""),"O objeto do presente instrumento refere-se à aquisição/contratação de material gráfico e de comunicação visual da SETASC.")</f>
        <v>O objeto do presente instrumento refere-se à aquisição/contratação de material gráfico e de comunicação visual da SETASC.</v>
      </c>
      <c r="F53" s="1" t="str">
        <f>IFERROR(__xludf.DUMMYFUNCTION("""COMPUTED_VALUE"""),"25/03/2025 a 24/03/2026")</f>
        <v>25/03/2025 a 24/03/2026</v>
      </c>
      <c r="G53" s="1">
        <f>IFERROR(__xludf.DUMMYFUNCTION("""COMPUTED_VALUE"""),30.0)</f>
        <v>30</v>
      </c>
      <c r="H53" s="5">
        <f>IFERROR(__xludf.DUMMYFUNCTION("""COMPUTED_VALUE"""),779936.9)</f>
        <v>779936.9</v>
      </c>
      <c r="I53" s="5" t="str">
        <f>IFERROR(__xludf.DUMMYFUNCTION("""COMPUTED_VALUE"""),"DEMANDA")</f>
        <v>DEMANDA</v>
      </c>
      <c r="J53" s="1" t="str">
        <f>IFERROR(__xludf.DUMMYFUNCTION("""COMPUTED_VALUE"""),"NÃO")</f>
        <v>NÃO</v>
      </c>
      <c r="K53" s="5">
        <f>IFERROR(__xludf.DUMMYFUNCTION("""COMPUTED_VALUE"""),662956.98)</f>
        <v>662956.98</v>
      </c>
      <c r="L53" s="1" t="str">
        <f>IFERROR(__xludf.DUMMYFUNCTION("""COMPUTED_VALUE"""),"ECIR ROLIM BACANI
KENNYA CONSANI DAS MERCÊS")</f>
        <v>ECIR ROLIM BACANI
KENNYA CONSANI DAS MERCÊS</v>
      </c>
      <c r="M53" s="1" t="str">
        <f>IFERROR(__xludf.DUMMYFUNCTION("""COMPUTED_VALUE"""),"SAADS")</f>
        <v>SAADS</v>
      </c>
      <c r="N53" s="1"/>
      <c r="O53" s="1"/>
    </row>
    <row r="54">
      <c r="A54" s="1">
        <f>IFERROR(__xludf.DUMMYFUNCTION("""COMPUTED_VALUE"""),53.0)</f>
        <v>53</v>
      </c>
      <c r="B54" s="1" t="str">
        <f>IFERROR(__xludf.DUMMYFUNCTION("""COMPUTED_VALUE"""),"005/2025")</f>
        <v>005/2025</v>
      </c>
      <c r="C54" s="1" t="str">
        <f>IFERROR(__xludf.DUMMYFUNCTION("""COMPUTED_VALUE"""),"SETASC-PRO-2025/03397")</f>
        <v>SETASC-PRO-2025/03397</v>
      </c>
      <c r="D54" s="1" t="str">
        <f>IFERROR(__xludf.DUMMYFUNCTION("""COMPUTED_VALUE"""),"ASSOCIAÇÃO AMIGOS METROVIÁRIOS EXCEPCIONAIS - AME ")</f>
        <v>ASSOCIAÇÃO AMIGOS METROVIÁRIOS EXCEPCIONAIS - AME </v>
      </c>
      <c r="E54" s="1" t="str">
        <f>IFERROR(__xludf.DUMMYFUNCTION("""COMPUTED_VALUE"""),"Contratação de pessoa jurídica especializada e
apta a prestar serviços de INTERMEDIAÇÃO, INTERPRETAÇÃO e TRADUÇÃO de LIBRAS
(Língua Brasileira de Sinais) para Português, e vice-versa, por meio de
Plataforma Digital Inteligente – Central de Libras On-line."&amp;" -")</f>
        <v>Contratação de pessoa jurídica especializada e
apta a prestar serviços de INTERMEDIAÇÃO, INTERPRETAÇÃO e TRADUÇÃO de LIBRAS
(Língua Brasileira de Sinais) para Português, e vice-versa, por meio de
Plataforma Digital Inteligente – Central de Libras On-line. -</v>
      </c>
      <c r="F54" s="1" t="str">
        <f>IFERROR(__xludf.DUMMYFUNCTION("""COMPUTED_VALUE"""),"28/03/2025 a 27/03/2027")</f>
        <v>28/03/2025 a 27/03/2027</v>
      </c>
      <c r="G54" s="1">
        <f>IFERROR(__xludf.DUMMYFUNCTION("""COMPUTED_VALUE"""),39.0)</f>
        <v>39</v>
      </c>
      <c r="H54" s="5">
        <f>IFERROR(__xludf.DUMMYFUNCTION("""COMPUTED_VALUE"""),787872.0)</f>
        <v>787872</v>
      </c>
      <c r="I54" s="5" t="str">
        <f>IFERROR(__xludf.DUMMYFUNCTION("""COMPUTED_VALUE"""),"DEMANDA")</f>
        <v>DEMANDA</v>
      </c>
      <c r="J54" s="1" t="str">
        <f>IFERROR(__xludf.DUMMYFUNCTION("""COMPUTED_VALUE"""),"NÃO")</f>
        <v>NÃO</v>
      </c>
      <c r="K54" s="5">
        <f>IFERROR(__xludf.DUMMYFUNCTION("""COMPUTED_VALUE"""),722216.0)</f>
        <v>722216</v>
      </c>
      <c r="L54" s="1" t="str">
        <f>IFERROR(__xludf.DUMMYFUNCTION("""COMPUTED_VALUE"""),"JOSÉ DE ARAÚJO NETO")</f>
        <v>JOSÉ DE ARAÚJO NETO</v>
      </c>
      <c r="M54" s="1" t="str">
        <f>IFERROR(__xludf.DUMMYFUNCTION("""COMPUTED_VALUE"""),"SADH")</f>
        <v>SADH</v>
      </c>
      <c r="N54" s="1"/>
      <c r="O54" s="1"/>
    </row>
    <row r="55">
      <c r="A55" s="1">
        <f>IFERROR(__xludf.DUMMYFUNCTION("""COMPUTED_VALUE"""),54.0)</f>
        <v>54</v>
      </c>
      <c r="B55" s="1" t="str">
        <f>IFERROR(__xludf.DUMMYFUNCTION("""COMPUTED_VALUE"""),"004/2025")</f>
        <v>004/2025</v>
      </c>
      <c r="C55" s="1" t="str">
        <f>IFERROR(__xludf.DUMMYFUNCTION("""COMPUTED_VALUE"""),"SETASC-PRO-2024/11187")</f>
        <v>SETASC-PRO-2024/11187</v>
      </c>
      <c r="D55" s="1" t="str">
        <f>IFERROR(__xludf.DUMMYFUNCTION("""COMPUTED_VALUE"""),"RM SUPPLIES TECNOLOGIA LTDA.")</f>
        <v>RM SUPPLIES TECNOLOGIA LTDA.</v>
      </c>
      <c r="E55" s="1" t="str">
        <f>IFERROR(__xludf.DUMMYFUNCTION("""COMPUTED_VALUE"""),"O objeto do presente instrumento refere-se à contratação de licença de software com uma plataforma de atendimento rápido, através da ferramenta de Chatbot, sendo ela o WhatsApp, para gestão de atendimento e atender as demandas da Secretaria de Estado de A"&amp;"ssistência Social e Cidadania de Mato Grosso e dos programas do SER FAMÍLIA com a população.")</f>
        <v>O objeto do presente instrumento refere-se à contratação de licença de software com uma plataforma de atendimento rápido, através da ferramenta de Chatbot, sendo ela o WhatsApp, para gestão de atendimento e atender as demandas da Secretaria de Estado de Assistência Social e Cidadania de Mato Grosso e dos programas do SER FAMÍLIA com a população.</v>
      </c>
      <c r="F55" s="1" t="str">
        <f>IFERROR(__xludf.DUMMYFUNCTION("""COMPUTED_VALUE"""),"26/02/2025 a 25/02/2026.")</f>
        <v>26/02/2025 a 25/02/2026.</v>
      </c>
      <c r="G55" s="1">
        <f>IFERROR(__xludf.DUMMYFUNCTION("""COMPUTED_VALUE"""),39.0)</f>
        <v>39</v>
      </c>
      <c r="H55" s="5">
        <f>IFERROR(__xludf.DUMMYFUNCTION("""COMPUTED_VALUE"""),18000.0)</f>
        <v>18000</v>
      </c>
      <c r="I55" s="5" t="str">
        <f>IFERROR(__xludf.DUMMYFUNCTION("""COMPUTED_VALUE"""),"DEMANDA ")</f>
        <v>DEMANDA </v>
      </c>
      <c r="J55" s="1" t="str">
        <f>IFERROR(__xludf.DUMMYFUNCTION("""COMPUTED_VALUE"""),"NÃO")</f>
        <v>NÃO</v>
      </c>
      <c r="K55" s="5">
        <f>IFERROR(__xludf.DUMMYFUNCTION("""COMPUTED_VALUE"""),9000.0)</f>
        <v>9000</v>
      </c>
      <c r="L55" s="1" t="str">
        <f>IFERROR(__xludf.DUMMYFUNCTION("""COMPUTED_VALUE"""),"RAUL FERNANDES DO NASCIMENTO")</f>
        <v>RAUL FERNANDES DO NASCIMENTO</v>
      </c>
      <c r="M55" s="1" t="str">
        <f>IFERROR(__xludf.DUMMYFUNCTION("""COMPUTED_VALUE"""),"SAADS")</f>
        <v>SAADS</v>
      </c>
      <c r="N55" s="1"/>
      <c r="O55" s="1"/>
    </row>
    <row r="56">
      <c r="A56" s="1">
        <f>IFERROR(__xludf.DUMMYFUNCTION("""COMPUTED_VALUE"""),55.0)</f>
        <v>55</v>
      </c>
      <c r="B56" s="1" t="str">
        <f>IFERROR(__xludf.DUMMYFUNCTION("""COMPUTED_VALUE"""),"003/2025")</f>
        <v>003/2025</v>
      </c>
      <c r="C56" s="1" t="str">
        <f>IFERROR(__xludf.DUMMYFUNCTION("""COMPUTED_VALUE"""),"SETASC-PRO-2024/09548")</f>
        <v>SETASC-PRO-2024/09548</v>
      </c>
      <c r="D56" s="1" t="str">
        <f>IFERROR(__xludf.DUMMYFUNCTION("""COMPUTED_VALUE"""),"SENAI – SERVIÇO NACIONAL DE APRENDIZAGEM INDUSTRIAL")</f>
        <v>SENAI – SERVIÇO NACIONAL DE APRENDIZAGEM INDUSTRIAL</v>
      </c>
      <c r="E56" s="1" t="str">
        <f>IFERROR(__xludf.DUMMYFUNCTION("""COMPUTED_VALUE"""),"Contratação do SENAI – Serviço Nacional de Aprendizagem Industrial, para ministrar cursos de qualificação profissional e social atendendo aos requisitos do Plano de Ações e Serviços - PAS do Sistema Nacional de Emprego - SINE para o bloco de ações e servi"&amp;"ços ""Qualificação Social e Profissional”. ")</f>
        <v>Contratação do SENAI – Serviço Nacional de Aprendizagem Industrial, para ministrar cursos de qualificação profissional e social atendendo aos requisitos do Plano de Ações e Serviços - PAS do Sistema Nacional de Emprego - SINE para o bloco de ações e serviços "Qualificação Social e Profissional”. </v>
      </c>
      <c r="F56" s="1" t="str">
        <f>IFERROR(__xludf.DUMMYFUNCTION("""COMPUTED_VALUE"""),"06/05/2025 a 05/05/2026")</f>
        <v>06/05/2025 a 05/05/2026</v>
      </c>
      <c r="G56" s="1">
        <f>IFERROR(__xludf.DUMMYFUNCTION("""COMPUTED_VALUE"""),39.0)</f>
        <v>39</v>
      </c>
      <c r="H56" s="5">
        <f>IFERROR(__xludf.DUMMYFUNCTION("""COMPUTED_VALUE"""),1755640.0)</f>
        <v>1755640</v>
      </c>
      <c r="I56" s="5" t="str">
        <f>IFERROR(__xludf.DUMMYFUNCTION("""COMPUTED_VALUE"""),"DEMANDA")</f>
        <v>DEMANDA</v>
      </c>
      <c r="J56" s="1" t="str">
        <f>IFERROR(__xludf.DUMMYFUNCTION("""COMPUTED_VALUE"""),"NÃO")</f>
        <v>NÃO</v>
      </c>
      <c r="K56" s="5">
        <f>IFERROR(__xludf.DUMMYFUNCTION("""COMPUTED_VALUE"""),1755640.0)</f>
        <v>1755640</v>
      </c>
      <c r="L56" s="1" t="str">
        <f>IFERROR(__xludf.DUMMYFUNCTION("""COMPUTED_VALUE"""),"CARLOS EDUARDO DE MEDEIROS BRAGUINI")</f>
        <v>CARLOS EDUARDO DE MEDEIROS BRAGUINI</v>
      </c>
      <c r="M56" s="1" t="str">
        <f>IFERROR(__xludf.DUMMYFUNCTION("""COMPUTED_VALUE"""),"SACIS")</f>
        <v>SACIS</v>
      </c>
      <c r="N56" s="1"/>
      <c r="O56" s="1"/>
    </row>
    <row r="57">
      <c r="A57" s="1">
        <f>IFERROR(__xludf.DUMMYFUNCTION("""COMPUTED_VALUE"""),56.0)</f>
        <v>56</v>
      </c>
      <c r="B57" s="1" t="str">
        <f>IFERROR(__xludf.DUMMYFUNCTION("""COMPUTED_VALUE"""),"002/2025")</f>
        <v>002/2025</v>
      </c>
      <c r="C57" s="1" t="str">
        <f>IFERROR(__xludf.DUMMYFUNCTION("""COMPUTED_VALUE"""),"SETASC-PRO-2025/00225")</f>
        <v>SETASC-PRO-2025/00225</v>
      </c>
      <c r="D57" s="1" t="str">
        <f>IFERROR(__xludf.DUMMYFUNCTION("""COMPUTED_VALUE"""),"SSG SOLUÇÕES LTDA.")</f>
        <v>SSG SOLUÇÕES LTDA.</v>
      </c>
      <c r="E57" s="1" t="str">
        <f>IFERROR(__xludf.DUMMYFUNCTION("""COMPUTED_VALUE"""),"O objeto do presente instrumento refere-se à aquisição de materiais de consumo (expediente, limpeza e higiene), para recompor o estoque do Almoxarifado.")</f>
        <v>O objeto do presente instrumento refere-se à aquisição de materiais de consumo (expediente, limpeza e higiene), para recompor o estoque do Almoxarifado.</v>
      </c>
      <c r="F57" s="1" t="str">
        <f>IFERROR(__xludf.DUMMYFUNCTION("""COMPUTED_VALUE"""),"30/01/2025 a 29/01/2026.")</f>
        <v>30/01/2025 a 29/01/2026.</v>
      </c>
      <c r="G57" s="1">
        <f>IFERROR(__xludf.DUMMYFUNCTION("""COMPUTED_VALUE"""),30.0)</f>
        <v>30</v>
      </c>
      <c r="H57" s="5">
        <f>IFERROR(__xludf.DUMMYFUNCTION("""COMPUTED_VALUE"""),7649.96)</f>
        <v>7649.96</v>
      </c>
      <c r="I57" s="5" t="str">
        <f>IFERROR(__xludf.DUMMYFUNCTION("""COMPUTED_VALUE"""),"DEMANDA")</f>
        <v>DEMANDA</v>
      </c>
      <c r="J57" s="1" t="str">
        <f>IFERROR(__xludf.DUMMYFUNCTION("""COMPUTED_VALUE"""),"NÃO")</f>
        <v>NÃO</v>
      </c>
      <c r="K57" s="5">
        <f>IFERROR(__xludf.DUMMYFUNCTION("""COMPUTED_VALUE"""),4095.9200000000005)</f>
        <v>4095.92</v>
      </c>
      <c r="L57" s="1" t="str">
        <f>IFERROR(__xludf.DUMMYFUNCTION("""COMPUTED_VALUE"""),"SANDRA REGINA GUTIERRES")</f>
        <v>SANDRA REGINA GUTIERRES</v>
      </c>
      <c r="M57" s="1" t="str">
        <f>IFERROR(__xludf.DUMMYFUNCTION("""COMPUTED_VALUE"""),"SAADS")</f>
        <v>SAADS</v>
      </c>
      <c r="N57" s="1"/>
      <c r="O57" s="1"/>
    </row>
    <row r="58">
      <c r="A58" s="1">
        <f>IFERROR(__xludf.DUMMYFUNCTION("""COMPUTED_VALUE"""),57.0)</f>
        <v>57</v>
      </c>
      <c r="B58" s="1" t="str">
        <f>IFERROR(__xludf.DUMMYFUNCTION("""COMPUTED_VALUE"""),"001/2025")</f>
        <v>001/2025</v>
      </c>
      <c r="C58" s="1" t="str">
        <f>IFERROR(__xludf.DUMMYFUNCTION("""COMPUTED_VALUE"""),"SETASC-PRO-2025/00218")</f>
        <v>SETASC-PRO-2025/00218</v>
      </c>
      <c r="D58" s="1" t="str">
        <f>IFERROR(__xludf.DUMMYFUNCTION("""COMPUTED_VALUE"""),"CYAN PAPELARIA E MATERIAIS DE INFORMÁTICA LTDA")</f>
        <v>CYAN PAPELARIA E MATERIAIS DE INFORMÁTICA LTDA</v>
      </c>
      <c r="E58" s="1" t="str">
        <f>IFERROR(__xludf.DUMMYFUNCTION("""COMPUTED_VALUE"""),"O objeto do presente instrumento refere-se à aquisição de materiais de consumo (expediente, limpeza e higiene), para recompor o estoque do Almoxarifado.")</f>
        <v>O objeto do presente instrumento refere-se à aquisição de materiais de consumo (expediente, limpeza e higiene), para recompor o estoque do Almoxarifado.</v>
      </c>
      <c r="F58" s="1" t="str">
        <f>IFERROR(__xludf.DUMMYFUNCTION("""COMPUTED_VALUE"""),"30/01/2025 a 29/01/2026.")</f>
        <v>30/01/2025 a 29/01/2026.</v>
      </c>
      <c r="G58" s="1">
        <f>IFERROR(__xludf.DUMMYFUNCTION("""COMPUTED_VALUE"""),30.0)</f>
        <v>30</v>
      </c>
      <c r="H58" s="5">
        <f>IFERROR(__xludf.DUMMYFUNCTION("""COMPUTED_VALUE"""),291289.41)</f>
        <v>291289.41</v>
      </c>
      <c r="I58" s="5" t="str">
        <f>IFERROR(__xludf.DUMMYFUNCTION("""COMPUTED_VALUE"""),"DEMANDA")</f>
        <v>DEMANDA</v>
      </c>
      <c r="J58" s="1" t="str">
        <f>IFERROR(__xludf.DUMMYFUNCTION("""COMPUTED_VALUE"""),"NÃO")</f>
        <v>NÃO</v>
      </c>
      <c r="K58" s="5">
        <f>IFERROR(__xludf.DUMMYFUNCTION("""COMPUTED_VALUE"""),206238.01999999996)</f>
        <v>206238.02</v>
      </c>
      <c r="L58" s="1" t="str">
        <f>IFERROR(__xludf.DUMMYFUNCTION("""COMPUTED_VALUE"""),"ALDENEY ANTONIO NETO")</f>
        <v>ALDENEY ANTONIO NETO</v>
      </c>
      <c r="M58" s="1" t="str">
        <f>IFERROR(__xludf.DUMMYFUNCTION("""COMPUTED_VALUE"""),"SAADS")</f>
        <v>SAADS</v>
      </c>
      <c r="N58" s="1"/>
      <c r="O58" s="1"/>
    </row>
    <row r="59">
      <c r="A59" s="1">
        <f>IFERROR(__xludf.DUMMYFUNCTION("""COMPUTED_VALUE"""),58.0)</f>
        <v>58</v>
      </c>
      <c r="B59" s="1" t="str">
        <f>IFERROR(__xludf.DUMMYFUNCTION("""COMPUTED_VALUE"""),"056/2024")</f>
        <v>056/2024</v>
      </c>
      <c r="C59" s="1" t="str">
        <f>IFERROR(__xludf.DUMMYFUNCTION("""COMPUTED_VALUE"""),"SETASC-PRO-2024/10115")</f>
        <v>SETASC-PRO-2024/10115</v>
      </c>
      <c r="D59" s="1" t="str">
        <f>IFERROR(__xludf.DUMMYFUNCTION("""COMPUTED_VALUE"""),"A.W.G. COMÉRCIO E SERVIÇOS LTDA. - EPP")</f>
        <v>A.W.G. COMÉRCIO E SERVIÇOS LTDA. - EPP</v>
      </c>
      <c r="E59" s="1" t="str">
        <f>IFERROR(__xludf.DUMMYFUNCTION("""COMPUTED_VALUE"""),"Contratação de empresa especializada na prestação de serviços continuados na manutenção preventiva e corretiva de aparelhos condicionadores de ar, para atender às necessidades da SETASC - Secretaria de Estado de Assistência Social e Cidadania e suas unida"&amp;"des.")</f>
        <v>Contratação de empresa especializada na prestação de serviços continuados na manutenção preventiva e corretiva de aparelhos condicionadores de ar, para atender às necessidades da SETASC - Secretaria de Estado de Assistência Social e Cidadania e suas unidades.</v>
      </c>
      <c r="F59" s="1" t="str">
        <f>IFERROR(__xludf.DUMMYFUNCTION("""COMPUTED_VALUE"""),"19/12/2024 a 18/12/2025.")</f>
        <v>19/12/2024 a 18/12/2025.</v>
      </c>
      <c r="G59" s="1" t="str">
        <f>IFERROR(__xludf.DUMMYFUNCTION("""COMPUTED_VALUE"""),"33.90.39.070")</f>
        <v>33.90.39.070</v>
      </c>
      <c r="H59" s="5">
        <f>IFERROR(__xludf.DUMMYFUNCTION("""COMPUTED_VALUE"""),90379.08)</f>
        <v>90379.08</v>
      </c>
      <c r="I59" s="5" t="str">
        <f>IFERROR(__xludf.DUMMYFUNCTION("""COMPUTED_VALUE"""),"DEMANDA")</f>
        <v>DEMANDA</v>
      </c>
      <c r="J59" s="1" t="str">
        <f>IFERROR(__xludf.DUMMYFUNCTION("""COMPUTED_VALUE"""),"SIM")</f>
        <v>SIM</v>
      </c>
      <c r="K59" s="5">
        <f>IFERROR(__xludf.DUMMYFUNCTION("""COMPUTED_VALUE"""),74888.7)</f>
        <v>74888.7</v>
      </c>
      <c r="L59" s="1" t="str">
        <f>IFERROR(__xludf.DUMMYFUNCTION("""COMPUTED_VALUE"""),"ADEMIR GERMANO DE FREITAS")</f>
        <v>ADEMIR GERMANO DE FREITAS</v>
      </c>
      <c r="M59" s="1" t="str">
        <f>IFERROR(__xludf.DUMMYFUNCTION("""COMPUTED_VALUE"""),"SAADS")</f>
        <v>SAADS</v>
      </c>
      <c r="N59" s="1"/>
      <c r="O59" s="1"/>
    </row>
    <row r="60">
      <c r="A60" s="1">
        <f>IFERROR(__xludf.DUMMYFUNCTION("""COMPUTED_VALUE"""),59.0)</f>
        <v>59</v>
      </c>
      <c r="B60" s="1" t="str">
        <f>IFERROR(__xludf.DUMMYFUNCTION("""COMPUTED_VALUE"""),"052/2024")</f>
        <v>052/2024</v>
      </c>
      <c r="C60" s="1" t="str">
        <f>IFERROR(__xludf.DUMMYFUNCTION("""COMPUTED_VALUE"""),"SETASC-PRO-2024/08496")</f>
        <v>SETASC-PRO-2024/08496</v>
      </c>
      <c r="D60" s="1" t="str">
        <f>IFERROR(__xludf.DUMMYFUNCTION("""COMPUTED_VALUE"""),"META EXTINTORES LTDA. – EPP")</f>
        <v>META EXTINTORES LTDA. – EPP</v>
      </c>
      <c r="E60" s="1" t="str">
        <f>IFERROR(__xludf.DUMMYFUNCTION("""COMPUTED_VALUE"""),"O objeto do presente instrumento refere-se à aquisição de material, sendo mangueira, recarga de tipo pó químico, válvula e suporte para extintores de incêndio, para atender às demandas da SETASC – Secretaria de Estado de Assistência Social e Cidadania, qu"&amp;"e deriva da Adesão Participe à Ata de Registro de Preços nº 002/2024/SEPLAG, decorrente do Pregão Eletrônico nº 029/2023/SEPLAG, em conformidade com o Instrumento Simplificado de Formalização da Demanda apresentado e demais anexos, independente de transcr"&amp;"ição.")</f>
        <v>O objeto do presente instrumento refere-se à aquisição de material, sendo mangueira, recarga de tipo pó químico, válvula e suporte para extintores de incêndio, para atender às demandas da SETASC – Secretaria de Estado de Assistência Social e Cidadania, que deriva da Adesão Participe à Ata de Registro de Preços nº 002/2024/SEPLAG, decorrente do Pregão Eletrônico nº 029/2023/SEPLAG, em conformidade com o Instrumento Simplificado de Formalização da Demanda apresentado e demais anexos, independente de transcrição.</v>
      </c>
      <c r="F60" s="1" t="str">
        <f>IFERROR(__xludf.DUMMYFUNCTION("""COMPUTED_VALUE"""),"02/12/2024 a 01/12/2025.")</f>
        <v>02/12/2024 a 01/12/2025.</v>
      </c>
      <c r="G60" s="1">
        <f>IFERROR(__xludf.DUMMYFUNCTION("""COMPUTED_VALUE"""),30.0)</f>
        <v>30</v>
      </c>
      <c r="H60" s="5">
        <f>IFERROR(__xludf.DUMMYFUNCTION("""COMPUTED_VALUE"""),2790.41)</f>
        <v>2790.41</v>
      </c>
      <c r="I60" s="5" t="str">
        <f>IFERROR(__xludf.DUMMYFUNCTION("""COMPUTED_VALUE"""),"DEMANDA")</f>
        <v>DEMANDA</v>
      </c>
      <c r="J60" s="1" t="str">
        <f>IFERROR(__xludf.DUMMYFUNCTION("""COMPUTED_VALUE"""),"NÃO")</f>
        <v>NÃO</v>
      </c>
      <c r="K60" s="5">
        <f>IFERROR(__xludf.DUMMYFUNCTION("""COMPUTED_VALUE"""),2790.41)</f>
        <v>2790.41</v>
      </c>
      <c r="L60" s="1" t="str">
        <f>IFERROR(__xludf.DUMMYFUNCTION("""COMPUTED_VALUE"""),"KENNYA CONSANI DAS MERCÊS")</f>
        <v>KENNYA CONSANI DAS MERCÊS</v>
      </c>
      <c r="M60" s="1" t="str">
        <f>IFERROR(__xludf.DUMMYFUNCTION("""COMPUTED_VALUE"""),"SAADS")</f>
        <v>SAADS</v>
      </c>
      <c r="N60" s="1"/>
      <c r="O60" s="1"/>
    </row>
    <row r="61">
      <c r="A61" s="1">
        <f>IFERROR(__xludf.DUMMYFUNCTION("""COMPUTED_VALUE"""),60.0)</f>
        <v>60</v>
      </c>
      <c r="B61" s="1" t="str">
        <f>IFERROR(__xludf.DUMMYFUNCTION("""COMPUTED_VALUE"""),"051/2024")</f>
        <v>051/2024</v>
      </c>
      <c r="C61" s="1" t="str">
        <f>IFERROR(__xludf.DUMMYFUNCTION("""COMPUTED_VALUE"""),"SETASC-PRO-2024/08490")</f>
        <v>SETASC-PRO-2024/08490</v>
      </c>
      <c r="D61" s="1" t="str">
        <f>IFERROR(__xludf.DUMMYFUNCTION("""COMPUTED_VALUE"""),"P.R.P. BORGES COMÉRCIO EIRELI")</f>
        <v>P.R.P. BORGES COMÉRCIO EIRELI</v>
      </c>
      <c r="E61" s="1" t="str">
        <f>IFERROR(__xludf.DUMMYFUNCTION("""COMPUTED_VALUE"""),"Aquisição de material permanente, sendo 15 (quinze) unidades de extintores de incêndio - tipo pó químico ABC, para atender às demandas da SETASC - Secretaria de Estado de Assistência Social e Cidadania.")</f>
        <v>Aquisição de material permanente, sendo 15 (quinze) unidades de extintores de incêndio - tipo pó químico ABC, para atender às demandas da SETASC - Secretaria de Estado de Assistência Social e Cidadania.</v>
      </c>
      <c r="F61" s="1" t="str">
        <f>IFERROR(__xludf.DUMMYFUNCTION("""COMPUTED_VALUE"""),"11/12/2024 a 10/12/2025.")</f>
        <v>11/12/2024 a 10/12/2025.</v>
      </c>
      <c r="G61" s="1" t="str">
        <f>IFERROR(__xludf.DUMMYFUNCTION("""COMPUTED_VALUE"""),"4.4.90.52.012")</f>
        <v>4.4.90.52.012</v>
      </c>
      <c r="H61" s="5">
        <f>IFERROR(__xludf.DUMMYFUNCTION("""COMPUTED_VALUE"""),3100.0)</f>
        <v>3100</v>
      </c>
      <c r="I61" s="5" t="str">
        <f>IFERROR(__xludf.DUMMYFUNCTION("""COMPUTED_VALUE"""),"DEMANDA")</f>
        <v>DEMANDA</v>
      </c>
      <c r="J61" s="1" t="str">
        <f>IFERROR(__xludf.DUMMYFUNCTION("""COMPUTED_VALUE"""),"NÃO")</f>
        <v>NÃO</v>
      </c>
      <c r="K61" s="1"/>
      <c r="L61" s="1" t="str">
        <f>IFERROR(__xludf.DUMMYFUNCTION("""COMPUTED_VALUE"""),"PAULO ROGÉRIO PEREIRA BORGES")</f>
        <v>PAULO ROGÉRIO PEREIRA BORGES</v>
      </c>
      <c r="M61" s="1" t="str">
        <f>IFERROR(__xludf.DUMMYFUNCTION("""COMPUTED_VALUE"""),"SAADS")</f>
        <v>SAADS</v>
      </c>
      <c r="N61" s="1"/>
      <c r="O61" s="1"/>
    </row>
    <row r="62">
      <c r="A62" s="1">
        <f>IFERROR(__xludf.DUMMYFUNCTION("""COMPUTED_VALUE"""),61.0)</f>
        <v>61</v>
      </c>
      <c r="B62" s="1" t="str">
        <f>IFERROR(__xludf.DUMMYFUNCTION("""COMPUTED_VALUE"""),"050/2024")</f>
        <v>050/2024</v>
      </c>
      <c r="C62" s="1" t="str">
        <f>IFERROR(__xludf.DUMMYFUNCTION("""COMPUTED_VALUE"""),"SETASC-PRO-2024/09278")</f>
        <v>SETASC-PRO-2024/09278</v>
      </c>
      <c r="D62" s="1" t="str">
        <f>IFERROR(__xludf.DUMMYFUNCTION("""COMPUTED_VALUE"""),"COMERCIAL CARIACICA MULTIMODAL LTDA")</f>
        <v>COMERCIAL CARIACICA MULTIMODAL LTDA</v>
      </c>
      <c r="E62" s="1" t="str">
        <f>IFERROR(__xludf.DUMMYFUNCTION("""COMPUTED_VALUE"""),"Aquisição de 208.000 (duzentas e oito mil) cestas básicas, para atender as demadnas da Secretaria de Estado de Assistência Social e Cidadania - SETASC.")</f>
        <v>Aquisição de 208.000 (duzentas e oito mil) cestas básicas, para atender as demadnas da Secretaria de Estado de Assistência Social e Cidadania - SETASC.</v>
      </c>
      <c r="F62" s="1" t="str">
        <f>IFERROR(__xludf.DUMMYFUNCTION("""COMPUTED_VALUE"""),"11/12/2024 a 10/12/2025")</f>
        <v>11/12/2024 a 10/12/2025</v>
      </c>
      <c r="G62" s="1" t="str">
        <f>IFERROR(__xludf.DUMMYFUNCTION("""COMPUTED_VALUE"""),"33.90.32.007")</f>
        <v>33.90.32.007</v>
      </c>
      <c r="H62" s="5">
        <f>IFERROR(__xludf.DUMMYFUNCTION("""COMPUTED_VALUE"""),2.799264E7)</f>
        <v>27992640</v>
      </c>
      <c r="I62" s="5" t="str">
        <f>IFERROR(__xludf.DUMMYFUNCTION("""COMPUTED_VALUE"""),"DEMANDA")</f>
        <v>DEMANDA</v>
      </c>
      <c r="J62" s="1" t="str">
        <f>IFERROR(__xludf.DUMMYFUNCTION("""COMPUTED_VALUE"""),"NÃO")</f>
        <v>NÃO</v>
      </c>
      <c r="K62" s="5">
        <f>IFERROR(__xludf.DUMMYFUNCTION("""COMPUTED_VALUE"""),5921520.0)</f>
        <v>5921520</v>
      </c>
      <c r="L62" s="1" t="str">
        <f>IFERROR(__xludf.DUMMYFUNCTION("""COMPUTED_VALUE"""),"ALEXANDRE DIONÍSIO VIEIRA")</f>
        <v>ALEXANDRE DIONÍSIO VIEIRA</v>
      </c>
      <c r="M62" s="1" t="str">
        <f>IFERROR(__xludf.DUMMYFUNCTION("""COMPUTED_VALUE"""),"SACIS")</f>
        <v>SACIS</v>
      </c>
      <c r="N62" s="1"/>
      <c r="O62" s="1"/>
    </row>
    <row r="63">
      <c r="A63" s="1">
        <f>IFERROR(__xludf.DUMMYFUNCTION("""COMPUTED_VALUE"""),62.0)</f>
        <v>62</v>
      </c>
      <c r="B63" s="1" t="str">
        <f>IFERROR(__xludf.DUMMYFUNCTION("""COMPUTED_VALUE"""),"049/2024")</f>
        <v>049/2024</v>
      </c>
      <c r="C63" s="1" t="str">
        <f>IFERROR(__xludf.DUMMYFUNCTION("""COMPUTED_VALUE"""),"SETASC-PRO-2024/09126")</f>
        <v>SETASC-PRO-2024/09126</v>
      </c>
      <c r="D63" s="1" t="str">
        <f>IFERROR(__xludf.DUMMYFUNCTION("""COMPUTED_VALUE"""),"IRMÃOS DOMINGOS LTDA.")</f>
        <v>IRMÃOS DOMINGOS LTDA.</v>
      </c>
      <c r="E63" s="1" t="str">
        <f>IFERROR(__xludf.DUMMYFUNCTION("""COMPUTED_VALUE"""),"Aquisição de 72.000 (setenta e duas mil) cestas básicas e 100.000 (cem mil) cestas - Kits especiais de Natal, para atender as demandas da Secretaria de Estado de Assistência Social e Cidadania - SETASC.")</f>
        <v>Aquisição de 72.000 (setenta e duas mil) cestas básicas e 100.000 (cem mil) cestas - Kits especiais de Natal, para atender as demandas da Secretaria de Estado de Assistência Social e Cidadania - SETASC.</v>
      </c>
      <c r="F63" s="1" t="str">
        <f>IFERROR(__xludf.DUMMYFUNCTION("""COMPUTED_VALUE"""),"01/11/2024 a 31/10/2025 (NÃO VAI PRORROGAR)")</f>
        <v>01/11/2024 a 31/10/2025 (NÃO VAI PRORROGAR)</v>
      </c>
      <c r="G63" s="1" t="str">
        <f>IFERROR(__xludf.DUMMYFUNCTION("""COMPUTED_VALUE"""),"32/30")</f>
        <v>32/30</v>
      </c>
      <c r="H63" s="5">
        <f>IFERROR(__xludf.DUMMYFUNCTION("""COMPUTED_VALUE"""),2.83914E7)</f>
        <v>28391400</v>
      </c>
      <c r="I63" s="5" t="str">
        <f>IFERROR(__xludf.DUMMYFUNCTION("""COMPUTED_VALUE"""),"DEMANDA")</f>
        <v>DEMANDA</v>
      </c>
      <c r="J63" s="1" t="str">
        <f>IFERROR(__xludf.DUMMYFUNCTION("""COMPUTED_VALUE"""),"NÃO")</f>
        <v>NÃO</v>
      </c>
      <c r="K63" s="5">
        <f>IFERROR(__xludf.DUMMYFUNCTION("""COMPUTED_VALUE"""),0.0)</f>
        <v>0</v>
      </c>
      <c r="L63" s="1" t="str">
        <f>IFERROR(__xludf.DUMMYFUNCTION("""COMPUTED_VALUE"""),"PRISCILA CONSANI DAS MERCÊS OLIVEIRA")</f>
        <v>PRISCILA CONSANI DAS MERCÊS OLIVEIRA</v>
      </c>
      <c r="M63" s="1" t="str">
        <f>IFERROR(__xludf.DUMMYFUNCTION("""COMPUTED_VALUE"""),"SACIS")</f>
        <v>SACIS</v>
      </c>
      <c r="N63" s="1"/>
      <c r="O63" s="1"/>
    </row>
    <row r="64">
      <c r="A64" s="1">
        <f>IFERROR(__xludf.DUMMYFUNCTION("""COMPUTED_VALUE"""),63.0)</f>
        <v>63</v>
      </c>
      <c r="B64" s="1" t="str">
        <f>IFERROR(__xludf.DUMMYFUNCTION("""COMPUTED_VALUE"""),"040/2024")</f>
        <v>040/2024</v>
      </c>
      <c r="C64" s="1" t="str">
        <f>IFERROR(__xludf.DUMMYFUNCTION("""COMPUTED_VALUE"""),"SETASC-PRO-2024/08226")</f>
        <v>SETASC-PRO-2024/08226</v>
      </c>
      <c r="D64" s="1" t="str">
        <f>IFERROR(__xludf.DUMMYFUNCTION("""COMPUTED_VALUE"""),"G&amp;L INDÚSTRIA E COMÉRCIO LTDA")</f>
        <v>G&amp;L INDÚSTRIA E COMÉRCIO LTDA</v>
      </c>
      <c r="E64" s="1" t="str">
        <f>IFERROR(__xludf.DUMMYFUNCTION("""COMPUTED_VALUE"""),"O objeto do presente instrumento é à contratação de empresa especializada em confecção de camisetas personalizadas para uso dos servidores em eventos da Secretaria de Estado de Assistência Social e Cidadania – SETASC/MT e unidades descentralizadas.")</f>
        <v>O objeto do presente instrumento é à contratação de empresa especializada em confecção de camisetas personalizadas para uso dos servidores em eventos da Secretaria de Estado de Assistência Social e Cidadania – SETASC/MT e unidades descentralizadas.</v>
      </c>
      <c r="F64" s="1" t="str">
        <f>IFERROR(__xludf.DUMMYFUNCTION("""COMPUTED_VALUE"""),"02/10/2024 a 01/10/2026")</f>
        <v>02/10/2024 a 01/10/2026</v>
      </c>
      <c r="G64" s="1">
        <f>IFERROR(__xludf.DUMMYFUNCTION("""COMPUTED_VALUE"""),30.0)</f>
        <v>30</v>
      </c>
      <c r="H64" s="5">
        <f>IFERROR(__xludf.DUMMYFUNCTION("""COMPUTED_VALUE"""),868693.0)</f>
        <v>868693</v>
      </c>
      <c r="I64" s="5" t="str">
        <f>IFERROR(__xludf.DUMMYFUNCTION("""COMPUTED_VALUE"""),"DEMANDA")</f>
        <v>DEMANDA</v>
      </c>
      <c r="J64" s="1" t="str">
        <f>IFERROR(__xludf.DUMMYFUNCTION("""COMPUTED_VALUE"""),"NÃO")</f>
        <v>NÃO</v>
      </c>
      <c r="K64" s="5">
        <f>IFERROR(__xludf.DUMMYFUNCTION("""COMPUTED_VALUE"""),535347.5)</f>
        <v>535347.5</v>
      </c>
      <c r="L64" s="1" t="str">
        <f>IFERROR(__xludf.DUMMYFUNCTION("""COMPUTED_VALUE"""),"ANTONIO BRESCHIGLIARI FILHO")</f>
        <v>ANTONIO BRESCHIGLIARI FILHO</v>
      </c>
      <c r="M64" s="1" t="str">
        <f>IFERROR(__xludf.DUMMYFUNCTION("""COMPUTED_VALUE"""),"SAADS")</f>
        <v>SAADS</v>
      </c>
      <c r="N64" s="1"/>
      <c r="O64" s="1"/>
    </row>
    <row r="65">
      <c r="A65" s="1">
        <f>IFERROR(__xludf.DUMMYFUNCTION("""COMPUTED_VALUE"""),64.0)</f>
        <v>64</v>
      </c>
      <c r="B65" s="1" t="str">
        <f>IFERROR(__xludf.DUMMYFUNCTION("""COMPUTED_VALUE"""),"033/2024")</f>
        <v>033/2024</v>
      </c>
      <c r="C65" s="1" t="str">
        <f>IFERROR(__xludf.DUMMYFUNCTION("""COMPUTED_VALUE"""),"SETASC-PRO-2024/06785")</f>
        <v>SETASC-PRO-2024/06785</v>
      </c>
      <c r="D65" s="1" t="str">
        <f>IFERROR(__xludf.DUMMYFUNCTION("""COMPUTED_VALUE"""),"LUA SERVIÇOS LTDA")</f>
        <v>LUA SERVIÇOS LTDA</v>
      </c>
      <c r="E65" s="1" t="str">
        <f>IFERROR(__xludf.DUMMYFUNCTION("""COMPUTED_VALUE"""),"O objeto do presente instrumento refere-se à prestação de serviços continuados de Apoio Administrativo para os perfis Auxiliar Administrativo, para atender as demandas da SETASC – Secretaria de Estado de Assistência Social e Cidadania, que deriva da Adesã"&amp;"o Participe à Ata de Registro de Preços nº 005/2024/SEPLAG, decorrente do Pregão Eletrônico nº 002/2024/SEPLAG, em conformidade com o Instrumento Simplificado de Formalização da Demanda apresentado e demais anexos, independente de transcrição.")</f>
        <v>O objeto do presente instrumento refere-se à prestação de serviços continuados de Apoio Administrativo para os perfis Auxiliar Administrativo, para atender as demandas da SETASC – Secretaria de Estado de Assistência Social e Cidadania, que deriva da Adesão Participe à Ata de Registro de Preços nº 005/2024/SEPLAG, decorrente do Pregão Eletrônico nº 002/2024/SEPLAG, em conformidade com o Instrumento Simplificado de Formalização da Demanda apresentado e demais anexos, independente de transcrição.</v>
      </c>
      <c r="F65" s="1" t="str">
        <f>IFERROR(__xludf.DUMMYFUNCTION("""COMPUTED_VALUE"""),"02/10/2024 a 01/10/2026")</f>
        <v>02/10/2024 a 01/10/2026</v>
      </c>
      <c r="G65" s="1">
        <f>IFERROR(__xludf.DUMMYFUNCTION("""COMPUTED_VALUE"""),37.0)</f>
        <v>37</v>
      </c>
      <c r="H65" s="5">
        <f>IFERROR(__xludf.DUMMYFUNCTION("""COMPUTED_VALUE"""),6727410.0)</f>
        <v>6727410</v>
      </c>
      <c r="I65" s="5" t="str">
        <f>IFERROR(__xludf.DUMMYFUNCTION("""COMPUTED_VALUE"""),"CONTINUO ")</f>
        <v>CONTINUO </v>
      </c>
      <c r="J65" s="1" t="str">
        <f>IFERROR(__xludf.DUMMYFUNCTION("""COMPUTED_VALUE"""),"NÃO ")</f>
        <v>NÃO </v>
      </c>
      <c r="K65" s="5">
        <f>IFERROR(__xludf.DUMMYFUNCTION("""COMPUTED_VALUE"""),4647082.67)</f>
        <v>4647082.67</v>
      </c>
      <c r="L65" s="1" t="str">
        <f>IFERROR(__xludf.DUMMYFUNCTION("""COMPUTED_VALUE"""),"ANILDO PEREIRA DUTRA")</f>
        <v>ANILDO PEREIRA DUTRA</v>
      </c>
      <c r="M65" s="1" t="str">
        <f>IFERROR(__xludf.DUMMYFUNCTION("""COMPUTED_VALUE"""),"SAADS")</f>
        <v>SAADS</v>
      </c>
      <c r="N65" s="1"/>
      <c r="O65" s="1"/>
    </row>
    <row r="66">
      <c r="A66" s="1">
        <f>IFERROR(__xludf.DUMMYFUNCTION("""COMPUTED_VALUE"""),65.0)</f>
        <v>65</v>
      </c>
      <c r="B66" s="1" t="str">
        <f>IFERROR(__xludf.DUMMYFUNCTION("""COMPUTED_VALUE"""),"032/2024")</f>
        <v>032/2024</v>
      </c>
      <c r="C66" s="1" t="str">
        <f>IFERROR(__xludf.DUMMYFUNCTION("""COMPUTED_VALUE"""),"SETASC-PRO-2024/06882")</f>
        <v>SETASC-PRO-2024/06882</v>
      </c>
      <c r="D66" s="1" t="str">
        <f>IFERROR(__xludf.DUMMYFUNCTION("""COMPUTED_VALUE"""),"DINAMICA CLIPPING E COMUNICAÇÃO LTDA.")</f>
        <v>DINAMICA CLIPPING E COMUNICAÇÃO LTDA.</v>
      </c>
      <c r="E66" s="1" t="str">
        <f>IFERROR(__xludf.DUMMYFUNCTION("""COMPUTED_VALUE"""),"Contratação de empresa especializada na prestação de serviço de monitoramento de informações digitais e impressas (SERVIÇOS DE CLIPPING JORNALÍSTICO).")</f>
        <v>Contratação de empresa especializada na prestação de serviço de monitoramento de informações digitais e impressas (SERVIÇOS DE CLIPPING JORNALÍSTICO).</v>
      </c>
      <c r="F66" s="1" t="str">
        <f>IFERROR(__xludf.DUMMYFUNCTION("""COMPUTED_VALUE"""),"01/11/2024 a 31/10/2025 (ADITIVO EM ANDAMENTO)")</f>
        <v>01/11/2024 a 31/10/2025 (ADITIVO EM ANDAMENTO)</v>
      </c>
      <c r="G66" s="1">
        <f>IFERROR(__xludf.DUMMYFUNCTION("""COMPUTED_VALUE"""),39.0)</f>
        <v>39</v>
      </c>
      <c r="H66" s="5">
        <f>IFERROR(__xludf.DUMMYFUNCTION("""COMPUTED_VALUE"""),25992.0)</f>
        <v>25992</v>
      </c>
      <c r="I66" s="5" t="str">
        <f>IFERROR(__xludf.DUMMYFUNCTION("""COMPUTED_VALUE"""),"DEMANDA ")</f>
        <v>DEMANDA </v>
      </c>
      <c r="J66" s="1" t="str">
        <f>IFERROR(__xludf.DUMMYFUNCTION("""COMPUTED_VALUE"""),"NÃO ")</f>
        <v>NÃO </v>
      </c>
      <c r="K66" s="5">
        <f>IFERROR(__xludf.DUMMYFUNCTION("""COMPUTED_VALUE"""),6498.0)</f>
        <v>6498</v>
      </c>
      <c r="L66" s="1" t="str">
        <f>IFERROR(__xludf.DUMMYFUNCTION("""COMPUTED_VALUE"""),"ANA CLAUDIA DE OLIVEIRA BARROS")</f>
        <v>ANA CLAUDIA DE OLIVEIRA BARROS</v>
      </c>
      <c r="M66" s="1" t="str">
        <f>IFERROR(__xludf.DUMMYFUNCTION("""COMPUTED_VALUE"""),"GABINETE")</f>
        <v>GABINETE</v>
      </c>
      <c r="N66" s="1"/>
      <c r="O66" s="1"/>
    </row>
    <row r="67">
      <c r="A67" s="1">
        <f>IFERROR(__xludf.DUMMYFUNCTION("""COMPUTED_VALUE"""),66.0)</f>
        <v>66</v>
      </c>
      <c r="B67" s="1" t="str">
        <f>IFERROR(__xludf.DUMMYFUNCTION("""COMPUTED_VALUE"""),"029/2024")</f>
        <v>029/2024</v>
      </c>
      <c r="C67" s="1" t="str">
        <f>IFERROR(__xludf.DUMMYFUNCTION("""COMPUTED_VALUE"""),"SETASC-PRO-2024/05511")</f>
        <v>SETASC-PRO-2024/05511</v>
      </c>
      <c r="D67" s="1" t="str">
        <f>IFERROR(__xludf.DUMMYFUNCTION("""COMPUTED_VALUE"""),"ATM SOLUÇÕES EM SERVIÇOS LTDA")</f>
        <v>ATM SOLUÇÕES EM SERVIÇOS LTDA</v>
      </c>
      <c r="E67" s="1" t="str">
        <f>IFERROR(__xludf.DUMMYFUNCTION("""COMPUTED_VALUE"""),"Contratação de uma licença de software com uma plataforma de atendimento rápido, através da ferramenta de Chatbot, sendo elas o WhatsApp, para gestão de atendimento e atender a demanda da Secretaria Adjunta de Proteção e Defesa dos Direitos do Consumidor "&amp;"- PROCON/SETASC.")</f>
        <v>Contratação de uma licença de software com uma plataforma de atendimento rápido, através da ferramenta de Chatbot, sendo elas o WhatsApp, para gestão de atendimento e atender a demanda da Secretaria Adjunta de Proteção e Defesa dos Direitos do Consumidor - PROCON/SETASC.</v>
      </c>
      <c r="F67" s="1" t="str">
        <f>IFERROR(__xludf.DUMMYFUNCTION("""COMPUTED_VALUE"""),"08/08/2024 a 07/08/2026")</f>
        <v>08/08/2024 a 07/08/2026</v>
      </c>
      <c r="G67" s="1">
        <f>IFERROR(__xludf.DUMMYFUNCTION("""COMPUTED_VALUE"""),39.0)</f>
        <v>39</v>
      </c>
      <c r="H67" s="5">
        <f>IFERROR(__xludf.DUMMYFUNCTION("""COMPUTED_VALUE"""),18720.0)</f>
        <v>18720</v>
      </c>
      <c r="I67" s="5" t="str">
        <f>IFERROR(__xludf.DUMMYFUNCTION("""COMPUTED_VALUE"""),"DEMANDA ")</f>
        <v>DEMANDA </v>
      </c>
      <c r="J67" s="1" t="str">
        <f>IFERROR(__xludf.DUMMYFUNCTION("""COMPUTED_VALUE"""),"NÃO ")</f>
        <v>NÃO </v>
      </c>
      <c r="K67" s="5">
        <f>IFERROR(__xludf.DUMMYFUNCTION("""COMPUTED_VALUE"""),7800.0)</f>
        <v>7800</v>
      </c>
      <c r="L67" s="1" t="str">
        <f>IFERROR(__xludf.DUMMYFUNCTION("""COMPUTED_VALUE"""),"ALLAN ARAGÃO")</f>
        <v>ALLAN ARAGÃO</v>
      </c>
      <c r="M67" s="1" t="str">
        <f>IFERROR(__xludf.DUMMYFUNCTION("""COMPUTED_VALUE"""),"SAADS")</f>
        <v>SAADS</v>
      </c>
      <c r="N67" s="1"/>
      <c r="O67" s="1"/>
    </row>
    <row r="68">
      <c r="A68" s="1">
        <f>IFERROR(__xludf.DUMMYFUNCTION("""COMPUTED_VALUE"""),67.0)</f>
        <v>67</v>
      </c>
      <c r="B68" s="1" t="str">
        <f>IFERROR(__xludf.DUMMYFUNCTION("""COMPUTED_VALUE"""),"028/2024")</f>
        <v>028/2024</v>
      </c>
      <c r="C68" s="1" t="str">
        <f>IFERROR(__xludf.DUMMYFUNCTION("""COMPUTED_VALUE"""),"SETASC-PRO-2024/05670")</f>
        <v>SETASC-PRO-2024/05670</v>
      </c>
      <c r="D68" s="1" t="str">
        <f>IFERROR(__xludf.DUMMYFUNCTION("""COMPUTED_VALUE"""),"SETTE LOCAÇÃO DE SOM, LUZ E PALCO LTDA")</f>
        <v>SETTE LOCAÇÃO DE SOM, LUZ E PALCO LTDA</v>
      </c>
      <c r="E68" s="1" t="str">
        <f>IFERROR(__xludf.DUMMYFUNCTION("""COMPUTED_VALUE"""),"O objeto do presente instrumento refere-se à contratação de empresa especializada na prestação de serviços de apoio logístico e fornecimento de materiais para eventos, atos e solenidades, sendo som, iluminação e imagem, para atender as demandas da SETASC "&amp;"– Secretaria de Estado de Assistência Social e Cidadania, que deriva da Adesão Participe à Ata de Registro de Preços nº 009/2024/SEPLAG, decorrente do Pregão Eletrônico nº 008/2024/SEPLAG, em conformidade com o Instrumento Simplificado de Formalização da "&amp;"Demanda apresentado e demais anexos, independente de transcrição.")</f>
        <v>O objeto do presente instrumento refere-se à contratação de empresa especializada na prestação de serviços de apoio logístico e fornecimento de materiais para eventos, atos e solenidades, sendo som, iluminação e imagem,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v>
      </c>
      <c r="F68" s="1" t="str">
        <f>IFERROR(__xludf.DUMMYFUNCTION("""COMPUTED_VALUE"""),"13/08/2024 a 12/08/2026")</f>
        <v>13/08/2024 a 12/08/2026</v>
      </c>
      <c r="G68" s="1">
        <f>IFERROR(__xludf.DUMMYFUNCTION("""COMPUTED_VALUE"""),39.0)</f>
        <v>39</v>
      </c>
      <c r="H68" s="5">
        <f>IFERROR(__xludf.DUMMYFUNCTION("""COMPUTED_VALUE"""),290125.0)</f>
        <v>290125</v>
      </c>
      <c r="I68" s="5" t="str">
        <f>IFERROR(__xludf.DUMMYFUNCTION("""COMPUTED_VALUE"""),"DEMANDA ")</f>
        <v>DEMANDA </v>
      </c>
      <c r="J68" s="1" t="str">
        <f>IFERROR(__xludf.DUMMYFUNCTION("""COMPUTED_VALUE"""),"NÃO ")</f>
        <v>NÃO </v>
      </c>
      <c r="K68" s="5">
        <f>IFERROR(__xludf.DUMMYFUNCTION("""COMPUTED_VALUE"""),112213.0)</f>
        <v>112213</v>
      </c>
      <c r="L68" s="1" t="str">
        <f>IFERROR(__xludf.DUMMYFUNCTION("""COMPUTED_VALUE"""),"ROBERTA DEON SETTE")</f>
        <v>ROBERTA DEON SETTE</v>
      </c>
      <c r="M68" s="1" t="str">
        <f>IFERROR(__xludf.DUMMYFUNCTION("""COMPUTED_VALUE"""),"SAADS")</f>
        <v>SAADS</v>
      </c>
      <c r="N68" s="1"/>
      <c r="O68" s="1"/>
    </row>
    <row r="69">
      <c r="A69" s="1">
        <f>IFERROR(__xludf.DUMMYFUNCTION("""COMPUTED_VALUE"""),68.0)</f>
        <v>68</v>
      </c>
      <c r="B69" s="1" t="str">
        <f>IFERROR(__xludf.DUMMYFUNCTION("""COMPUTED_VALUE"""),"026/2024")</f>
        <v>026/2024</v>
      </c>
      <c r="C69" s="1" t="str">
        <f>IFERROR(__xludf.DUMMYFUNCTION("""COMPUTED_VALUE"""),"SETASC-PRO-2024/05667 ")</f>
        <v>SETASC-PRO-2024/05667 </v>
      </c>
      <c r="D69" s="1" t="str">
        <f>IFERROR(__xludf.DUMMYFUNCTION("""COMPUTED_VALUE"""),"ATIVA LOCAÇÃO LTDA.")</f>
        <v>ATIVA LOCAÇÃO LTDA.</v>
      </c>
      <c r="E69" s="1" t="str">
        <f>IFERROR(__xludf.DUMMYFUNCTION("""COMPUTED_VALUE"""),"O objeto do presente instrumento refere-se à contratação de empresa especializada na prestação de serviços de apoio logístico e fornecimento de materiais para eventos, atos e solenidades, sendo banheiros químicos, para atender as demandas da SETASC – Secr"&amp;"etaria de Estado de Assistência Social e Cidadania, que deriva da Adesão Participe à Ata de Registro de Preços nº 009/2024/SEPLAG, decorrente do Pregão Eletrônico nº 008/2024/SEPLAG, em conformidade com o Instrumento Simplificado de Formalização da Demand"&amp;"a apresentado e demais anexos, independente de transcrição.")</f>
        <v>O objeto do presente instrumento refere-se à contratação de empresa especializada na prestação de serviços de apoio logístico e fornecimento de materiais para eventos, atos e solenidades, sendo banheiros químicos,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v>
      </c>
      <c r="F69" s="1" t="str">
        <f>IFERROR(__xludf.DUMMYFUNCTION("""COMPUTED_VALUE"""),"02/08/2024 a 01/08/2026")</f>
        <v>02/08/2024 a 01/08/2026</v>
      </c>
      <c r="G69" s="1">
        <f>IFERROR(__xludf.DUMMYFUNCTION("""COMPUTED_VALUE"""),39.0)</f>
        <v>39</v>
      </c>
      <c r="H69" s="5">
        <f>IFERROR(__xludf.DUMMYFUNCTION("""COMPUTED_VALUE"""),49062.0)</f>
        <v>49062</v>
      </c>
      <c r="I69" s="5" t="str">
        <f>IFERROR(__xludf.DUMMYFUNCTION("""COMPUTED_VALUE"""),"DEMANDA")</f>
        <v>DEMANDA</v>
      </c>
      <c r="J69" s="1" t="str">
        <f>IFERROR(__xludf.DUMMYFUNCTION("""COMPUTED_VALUE"""),"NÃO ")</f>
        <v>NÃO </v>
      </c>
      <c r="K69" s="5">
        <f>IFERROR(__xludf.DUMMYFUNCTION("""COMPUTED_VALUE"""),4290.880000000005)</f>
        <v>4290.88</v>
      </c>
      <c r="L69" s="1" t="str">
        <f>IFERROR(__xludf.DUMMYFUNCTION("""COMPUTED_VALUE"""),"VITOR SARDI MARTINS")</f>
        <v>VITOR SARDI MARTINS</v>
      </c>
      <c r="M69" s="1" t="str">
        <f>IFERROR(__xludf.DUMMYFUNCTION("""COMPUTED_VALUE"""),"SAADS")</f>
        <v>SAADS</v>
      </c>
      <c r="N69" s="1"/>
      <c r="O69" s="1"/>
    </row>
    <row r="70">
      <c r="A70" s="1">
        <f>IFERROR(__xludf.DUMMYFUNCTION("""COMPUTED_VALUE"""),69.0)</f>
        <v>69</v>
      </c>
      <c r="B70" s="1" t="str">
        <f>IFERROR(__xludf.DUMMYFUNCTION("""COMPUTED_VALUE"""),"025/2024")</f>
        <v>025/2024</v>
      </c>
      <c r="C70" s="1" t="str">
        <f>IFERROR(__xludf.DUMMYFUNCTION("""COMPUTED_VALUE"""),"SETASC-PRO-2024/05666")</f>
        <v>SETASC-PRO-2024/05666</v>
      </c>
      <c r="D70" s="1" t="str">
        <f>IFERROR(__xludf.DUMMYFUNCTION("""COMPUTED_VALUE"""),"INFORTOUCH, AGÊNCIA DE COMUNICAÇÃO, EVENTOS E PRODUTOS ALIMENTÍCIOS LTDA")</f>
        <v>INFORTOUCH, AGÊNCIA DE COMUNICAÇÃO, EVENTOS E PRODUTOS ALIMENTÍCIOS LTDA</v>
      </c>
      <c r="E70" s="1" t="str">
        <f>IFERROR(__xludf.DUMMYFUNCTION("""COMPUTED_VALUE"""),"O objeto do presente instrumento refere-se à contratação de empresa especializada na prestação de serviços de apoio logístico e fornecimento de materiais para eventos, atos e solenidades para atender as demandas da SETASC – Secretaria de Estado de Assistê"&amp;"ncia Social e Cidadania, que deriva da Adesão Participe à Ata de Registro de Preços nº 009/2024/SEPLAG, decorrente do Pregão Eletrônico nº 008/2024/SEPLAG, em conformidade com o Instrumento Simplificado de Formalização da Demanda apresentado e demais anex"&amp;"os, independente de transcrição.")</f>
        <v>O objeto do presente instrumento refere-se à contratação de empresa especializada na prestação de serviços de apoio logístico e fornecimento de materiais para eventos, atos e solenidades para atender as demandas da SETASC – Secretaria de Estado de Assistência Social e Cidadania, que deriva da Adesão Participe à Ata de Registro de Preços nº 009/2024/SEPLAG, decorrente do Pregão Eletrônico nº 008/2024/SEPLAG, em conformidade com o Instrumento Simplificado de Formalização da Demanda apresentado e demais anexos, independente de transcrição.</v>
      </c>
      <c r="F70" s="1" t="str">
        <f>IFERROR(__xludf.DUMMYFUNCTION("""COMPUTED_VALUE"""),"24/07/2024 a 23/07/2026")</f>
        <v>24/07/2024 a 23/07/2026</v>
      </c>
      <c r="G70" s="1">
        <f>IFERROR(__xludf.DUMMYFUNCTION("""COMPUTED_VALUE"""),39.0)</f>
        <v>39</v>
      </c>
      <c r="H70" s="5">
        <f>IFERROR(__xludf.DUMMYFUNCTION("""COMPUTED_VALUE"""),2157351.38)</f>
        <v>2157351.38</v>
      </c>
      <c r="I70" s="5" t="str">
        <f>IFERROR(__xludf.DUMMYFUNCTION("""COMPUTED_VALUE"""),"CONTINUO ")</f>
        <v>CONTINUO </v>
      </c>
      <c r="J70" s="1" t="str">
        <f>IFERROR(__xludf.DUMMYFUNCTION("""COMPUTED_VALUE"""),"NÃO")</f>
        <v>NÃO</v>
      </c>
      <c r="K70" s="1"/>
      <c r="L70" s="1" t="str">
        <f>IFERROR(__xludf.DUMMYFUNCTION("""COMPUTED_VALUE"""),"RODRIGO PRIETO")</f>
        <v>RODRIGO PRIETO</v>
      </c>
      <c r="M70" s="1" t="str">
        <f>IFERROR(__xludf.DUMMYFUNCTION("""COMPUTED_VALUE"""),"SAADS")</f>
        <v>SAADS</v>
      </c>
      <c r="N70" s="1"/>
      <c r="O70" s="1"/>
    </row>
    <row r="71">
      <c r="A71" s="1">
        <f>IFERROR(__xludf.DUMMYFUNCTION("""COMPUTED_VALUE"""),70.0)</f>
        <v>70</v>
      </c>
      <c r="B71" s="1" t="str">
        <f>IFERROR(__xludf.DUMMYFUNCTION("""COMPUTED_VALUE"""),"024/2024")</f>
        <v>024/2024</v>
      </c>
      <c r="C71" s="1" t="str">
        <f>IFERROR(__xludf.DUMMYFUNCTION("""COMPUTED_VALUE"""),"SETASC-PRO-2024/05237")</f>
        <v>SETASC-PRO-2024/05237</v>
      </c>
      <c r="D71" s="1" t="str">
        <f>IFERROR(__xludf.DUMMYFUNCTION("""COMPUTED_VALUE"""),"UGOLINI CAMPOS EIRELI EPP.")</f>
        <v>UGOLINI CAMPOS EIRELI EPP.</v>
      </c>
      <c r="E71" s="1" t="str">
        <f>IFERROR(__xludf.DUMMYFUNCTION("""COMPUTED_VALUE"""),"O objeto do presente instrumento refere-se à aquisição de material de consumo, sendo, água mineral, natural, sem gás, acondicionada em garrafão de polipropileno, com capacidade para 20 (vinte) litros, para atender às demandas da Secretaria de Estado de As"&amp;"sistência Social e Cidadania - SETASC, que deriva da Adesão Participe à Ata de Registro de Preços nº 008/2024/SEPLAG, decorrente do Pregão Eletrônico nº 009/2024/SEPLAG, em conformidade com o Instrumento Simplificado de Formalização da Demanda apresentado"&amp;" e demais anexos, independente de transcrição.")</f>
        <v>O objeto do presente instrumento refere-se à aquisição de material de consumo, sendo, água mineral, natural, sem gás, acondicionada em garrafão de polipropileno, com capacidade para 20 (vinte) litros, para atender às demandas da Secretaria de Estado de Assistência Social e Cidadania - SETASC, que deriva da Adesão Participe à Ata de Registro de Preços nº 008/2024/SEPLAG, decorrente do Pregão Eletrônico nº 009/2024/SEPLAG, em conformidade com o Instrumento Simplificado de Formalização da Demanda apresentado e demais anexos, independente de transcrição.</v>
      </c>
      <c r="F71" s="1" t="str">
        <f>IFERROR(__xludf.DUMMYFUNCTION("""COMPUTED_VALUE"""),"03/07/2024 a 02/07/2026")</f>
        <v>03/07/2024 a 02/07/2026</v>
      </c>
      <c r="G71" s="1">
        <f>IFERROR(__xludf.DUMMYFUNCTION("""COMPUTED_VALUE"""),30.0)</f>
        <v>30</v>
      </c>
      <c r="H71" s="5">
        <f>IFERROR(__xludf.DUMMYFUNCTION("""COMPUTED_VALUE"""),136800.0)</f>
        <v>136800</v>
      </c>
      <c r="I71" s="5" t="str">
        <f>IFERROR(__xludf.DUMMYFUNCTION("""COMPUTED_VALUE"""),"DEMANDA ")</f>
        <v>DEMANDA </v>
      </c>
      <c r="J71" s="1" t="str">
        <f>IFERROR(__xludf.DUMMYFUNCTION("""COMPUTED_VALUE"""),"NÃO")</f>
        <v>NÃO</v>
      </c>
      <c r="K71" s="5">
        <f>IFERROR(__xludf.DUMMYFUNCTION("""COMPUTED_VALUE"""),36981.600000000006)</f>
        <v>36981.6</v>
      </c>
      <c r="L71" s="1" t="str">
        <f>IFERROR(__xludf.DUMMYFUNCTION("""COMPUTED_VALUE"""),"SAMANTHA RODRIGUES CAMPOS")</f>
        <v>SAMANTHA RODRIGUES CAMPOS</v>
      </c>
      <c r="M71" s="1" t="str">
        <f>IFERROR(__xludf.DUMMYFUNCTION("""COMPUTED_VALUE"""),"SAADS")</f>
        <v>SAADS</v>
      </c>
      <c r="N71" s="1"/>
      <c r="O71" s="1"/>
    </row>
    <row r="72">
      <c r="A72" s="1">
        <f>IFERROR(__xludf.DUMMYFUNCTION("""COMPUTED_VALUE"""),71.0)</f>
        <v>71</v>
      </c>
      <c r="B72" s="1" t="str">
        <f>IFERROR(__xludf.DUMMYFUNCTION("""COMPUTED_VALUE"""),"023/2024")</f>
        <v>023/2024</v>
      </c>
      <c r="C72" s="1" t="str">
        <f>IFERROR(__xludf.DUMMYFUNCTION("""COMPUTED_VALUE"""),"SETASC-PRO-2024/04758")</f>
        <v>SETASC-PRO-2024/04758</v>
      </c>
      <c r="D72" s="1" t="str">
        <f>IFERROR(__xludf.DUMMYFUNCTION("""COMPUTED_VALUE"""),"CENTER ART CERÂMICA LTDA")</f>
        <v>CENTER ART CERÂMICA LTDA</v>
      </c>
      <c r="E72" s="1" t="str">
        <f>IFERROR(__xludf.DUMMYFUNCTION("""COMPUTED_VALUE"""),"O objeto do presente instrumento refere-se à aquisição de filtros de barro cerâmico para filtragem de água para distribuição às famílias em situação de vulnerabilidade social, que deriva da Adesão Participe à Ata de Registro de Preços nº 001/2024/SETASC, "&amp;"decorrente do Pregão Eletrônico nº 003/2024/SETASC, em conformidade com o Instrumento Simplificado de Formalização da Demanda apresentado e demais anexos, independente de transcrição.")</f>
        <v>O objeto do presente instrumento refere-se à aquisição de filtros de barro cerâmico para filtragem de água para distribuição às famílias em situação de vulnerabilidade social, que deriva da Adesão Participe à Ata de Registro de Preços nº 001/2024/SETASC, decorrente do Pregão Eletrônico nº 003/2024/SETASC, em conformidade com o Instrumento Simplificado de Formalização da Demanda apresentado e demais anexos, independente de transcrição.</v>
      </c>
      <c r="F72" s="1" t="str">
        <f>IFERROR(__xludf.DUMMYFUNCTION("""COMPUTED_VALUE"""),"05/07/2024 a 04/07/2026")</f>
        <v>05/07/2024 a 04/07/2026</v>
      </c>
      <c r="G72" s="1">
        <f>IFERROR(__xludf.DUMMYFUNCTION("""COMPUTED_VALUE"""),32.0)</f>
        <v>32</v>
      </c>
      <c r="H72" s="5">
        <f>IFERROR(__xludf.DUMMYFUNCTION("""COMPUTED_VALUE"""),8066700.0)</f>
        <v>8066700</v>
      </c>
      <c r="I72" s="5" t="str">
        <f>IFERROR(__xludf.DUMMYFUNCTION("""COMPUTED_VALUE"""),"DEMANDA")</f>
        <v>DEMANDA</v>
      </c>
      <c r="J72" s="1" t="str">
        <f>IFERROR(__xludf.DUMMYFUNCTION("""COMPUTED_VALUE"""),"NÃO")</f>
        <v>NÃO</v>
      </c>
      <c r="K72" s="5">
        <f>IFERROR(__xludf.DUMMYFUNCTION("""COMPUTED_VALUE"""),49754.649999994785)</f>
        <v>49754.65</v>
      </c>
      <c r="L72" s="1" t="str">
        <f>IFERROR(__xludf.DUMMYFUNCTION("""COMPUTED_VALUE"""),"JESUS BENEDITO RODRIGUES")</f>
        <v>JESUS BENEDITO RODRIGUES</v>
      </c>
      <c r="M72" s="1" t="str">
        <f>IFERROR(__xludf.DUMMYFUNCTION("""COMPUTED_VALUE"""),"SACIS")</f>
        <v>SACIS</v>
      </c>
      <c r="N72" s="1"/>
      <c r="O72" s="1"/>
    </row>
    <row r="73">
      <c r="A73" s="1">
        <f>IFERROR(__xludf.DUMMYFUNCTION("""COMPUTED_VALUE"""),72.0)</f>
        <v>72</v>
      </c>
      <c r="B73" s="1" t="str">
        <f>IFERROR(__xludf.DUMMYFUNCTION("""COMPUTED_VALUE"""),"020/2024")</f>
        <v>020/2024</v>
      </c>
      <c r="C73" s="1" t="str">
        <f>IFERROR(__xludf.DUMMYFUNCTION("""COMPUTED_VALUE"""),"SETASC-PRO-2024/04613")</f>
        <v>SETASC-PRO-2024/04613</v>
      </c>
      <c r="D73" s="1" t="str">
        <f>IFERROR(__xludf.DUMMYFUNCTION("""COMPUTED_VALUE"""),"G&amp;E SERVIÇOS TERCEIRIZADOS LTDA.")</f>
        <v>G&amp;E SERVIÇOS TERCEIRIZADOS LTDA.</v>
      </c>
      <c r="E73" s="1" t="str">
        <f>IFERROR(__xludf.DUMMYFUNCTION("""COMPUTED_VALUE"""),"O objeto do presente instrumento refere-se a contratação de empresa especializada em prestação de serviços contínuos de terceirização de mão de obra de motorista (carteira B), para atender às demandas da Secretaria de Estado de Assistência Social e Cidada"&amp;"nia – SETASC-MT, que deriva da Adesão Participe à Ata de Registro de Preços nº 011/2023/SEPLAG, decorrente do Pregão Eletrônico nº 019/2022/SEPLAG, em conformidade com o Instrumento Simplificado de Formalização da Demanda, apresentado e demais anexos, ind"&amp;"ependente de transcrição.")</f>
        <v>O objeto do presente instrumento refere-se a contratação de empresa especializada em prestação de serviços contínuos de terceirização de mão de obra de motorista (carteira B), para atender às demandas da Secretaria de Estado de Assistência Social e Cidadania – SETASC-MT, que deriva da Adesão Participe à Ata de Registro de Preços nº 011/2023/SEPLAG, decorrente do Pregão Eletrônico nº 019/2022/SEPLAG, em conformidade com o Instrumento Simplificado de Formalização da Demanda, apresentado e demais anexos, independente de transcrição.</v>
      </c>
      <c r="F73" s="1" t="str">
        <f>IFERROR(__xludf.DUMMYFUNCTION("""COMPUTED_VALUE"""),"08/07/2024 a 07/07/2026.")</f>
        <v>08/07/2024 a 07/07/2026.</v>
      </c>
      <c r="G73" s="1">
        <f>IFERROR(__xludf.DUMMYFUNCTION("""COMPUTED_VALUE"""),37.0)</f>
        <v>37</v>
      </c>
      <c r="H73" s="5">
        <f>IFERROR(__xludf.DUMMYFUNCTION("""COMPUTED_VALUE"""),1258727.04)</f>
        <v>1258727.04</v>
      </c>
      <c r="I73" s="5" t="str">
        <f>IFERROR(__xludf.DUMMYFUNCTION("""COMPUTED_VALUE"""),"CONTINUO ")</f>
        <v>CONTINUO </v>
      </c>
      <c r="J73" s="1" t="str">
        <f>IFERROR(__xludf.DUMMYFUNCTION("""COMPUTED_VALUE"""),"NÃO ")</f>
        <v>NÃO </v>
      </c>
      <c r="K73" s="5">
        <f>IFERROR(__xludf.DUMMYFUNCTION("""COMPUTED_VALUE"""),1109162.93)</f>
        <v>1109162.93</v>
      </c>
      <c r="L73" s="1" t="str">
        <f>IFERROR(__xludf.DUMMYFUNCTION("""COMPUTED_VALUE"""),"GUILHERME LEITE CASTELLO BRANCO")</f>
        <v>GUILHERME LEITE CASTELLO BRANCO</v>
      </c>
      <c r="M73" s="1" t="str">
        <f>IFERROR(__xludf.DUMMYFUNCTION("""COMPUTED_VALUE"""),"SAADS")</f>
        <v>SAADS</v>
      </c>
      <c r="N73" s="1"/>
      <c r="O73" s="1"/>
    </row>
    <row r="74">
      <c r="A74" s="1">
        <f>IFERROR(__xludf.DUMMYFUNCTION("""COMPUTED_VALUE"""),73.0)</f>
        <v>73</v>
      </c>
      <c r="B74" s="1" t="str">
        <f>IFERROR(__xludf.DUMMYFUNCTION("""COMPUTED_VALUE"""),"017/2024")</f>
        <v>017/2024</v>
      </c>
      <c r="C74" s="1" t="str">
        <f>IFERROR(__xludf.DUMMYFUNCTION("""COMPUTED_VALUE"""),"SETASC-PRO-2024/04266")</f>
        <v>SETASC-PRO-2024/04266</v>
      </c>
      <c r="D74" s="1" t="str">
        <f>IFERROR(__xludf.DUMMYFUNCTION("""COMPUTED_VALUE"""),"UGOLINI CAMPOS LTDA")</f>
        <v>UGOLINI CAMPOS LTDA</v>
      </c>
      <c r="E74" s="1" t="str">
        <f>IFERROR(__xludf.DUMMYFUNCTION("""COMPUTED_VALUE"""),"Aquisição de material de consumo, sendo, 200 (duzentas) unidades de vasilhames para acondicionamento de água mineral, em polipropileno, novo, sem avarias e sem fissuras, com capacidade de 20 litros, para atender às demandas da Secretaria de Estado de Assi"&amp;"stência Social e Cidadania - SETASC")</f>
        <v>Aquisição de material de consumo, sendo, 200 (duzentas) unidades de vasilhames para acondicionamento de água mineral, em polipropileno, novo, sem avarias e sem fissuras, com capacidade de 20 litros, para atender às demandas da Secretaria de Estado de Assistência Social e Cidadania - SETASC</v>
      </c>
      <c r="F74" s="1" t="str">
        <f>IFERROR(__xludf.DUMMYFUNCTION("""COMPUTED_VALUE"""),"18/06/2024 a 17/06/2026")</f>
        <v>18/06/2024 a 17/06/2026</v>
      </c>
      <c r="G74" s="1">
        <f>IFERROR(__xludf.DUMMYFUNCTION("""COMPUTED_VALUE"""),30.0)</f>
        <v>30</v>
      </c>
      <c r="H74" s="5">
        <f>IFERROR(__xludf.DUMMYFUNCTION("""COMPUTED_VALUE"""),4510.0)</f>
        <v>4510</v>
      </c>
      <c r="I74" s="5" t="str">
        <f>IFERROR(__xludf.DUMMYFUNCTION("""COMPUTED_VALUE"""),"DEMANDA")</f>
        <v>DEMANDA</v>
      </c>
      <c r="J74" s="1" t="str">
        <f>IFERROR(__xludf.DUMMYFUNCTION("""COMPUTED_VALUE"""),"NÃO")</f>
        <v>NÃO</v>
      </c>
      <c r="K74" s="5" t="str">
        <f>IFERROR(__xludf.DUMMYFUNCTION("""COMPUTED_VALUE"""),"#REF!")</f>
        <v>#REF!</v>
      </c>
      <c r="L74" s="1" t="str">
        <f>IFERROR(__xludf.DUMMYFUNCTION("""COMPUTED_VALUE"""),"SAMANTHA RODRIGUES CAMPOS")</f>
        <v>SAMANTHA RODRIGUES CAMPOS</v>
      </c>
      <c r="M74" s="1" t="str">
        <f>IFERROR(__xludf.DUMMYFUNCTION("""COMPUTED_VALUE"""),"SAADS")</f>
        <v>SAADS</v>
      </c>
      <c r="N74" s="1"/>
      <c r="O74" s="1"/>
    </row>
    <row r="75">
      <c r="A75" s="1">
        <f>IFERROR(__xludf.DUMMYFUNCTION("""COMPUTED_VALUE"""),74.0)</f>
        <v>74</v>
      </c>
      <c r="B75" s="1" t="str">
        <f>IFERROR(__xludf.DUMMYFUNCTION("""COMPUTED_VALUE"""),"011/2024")</f>
        <v>011/2024</v>
      </c>
      <c r="C75" s="1" t="str">
        <f>IFERROR(__xludf.DUMMYFUNCTION("""COMPUTED_VALUE"""),"SETASC-PRO-2024/03718")</f>
        <v>SETASC-PRO-2024/03718</v>
      </c>
      <c r="D75" s="1" t="str">
        <f>IFERROR(__xludf.DUMMYFUNCTION("""COMPUTED_VALUE"""),"PIRES DE MIRANDA E CIA LTDA EPP")</f>
        <v>PIRES DE MIRANDA E CIA LTDA EPP</v>
      </c>
      <c r="E75" s="1" t="str">
        <f>IFERROR(__xludf.DUMMYFUNCTION("""COMPUTED_VALUE"""),"O objeto do presente instrumento é à contratação de empresa especializada para a prestação, sendo fornecimento de alimentação preparada tipo buffet (almoço e jantar), coffee break, kit lanche e outros, nos municípios de Cuiabá e Várzea Grande/MT.")</f>
        <v>O objeto do presente instrumento é à contratação de empresa especializada para a prestação, sendo fornecimento de alimentação preparada tipo buffet (almoço e jantar), coffee break, kit lanche e outros, nos municípios de Cuiabá e Várzea Grande/MT.</v>
      </c>
      <c r="F75" s="1" t="str">
        <f>IFERROR(__xludf.DUMMYFUNCTION("""COMPUTED_VALUE"""),"14/05/2024 a 13/05/2026")</f>
        <v>14/05/2024 a 13/05/2026</v>
      </c>
      <c r="G75" s="1">
        <f>IFERROR(__xludf.DUMMYFUNCTION("""COMPUTED_VALUE"""),30.0)</f>
        <v>30</v>
      </c>
      <c r="H75" s="5">
        <f>IFERROR(__xludf.DUMMYFUNCTION("""COMPUTED_VALUE"""),3314220.0)</f>
        <v>3314220</v>
      </c>
      <c r="I75" s="5" t="str">
        <f>IFERROR(__xludf.DUMMYFUNCTION("""COMPUTED_VALUE"""),"DEMANDA ")</f>
        <v>DEMANDA </v>
      </c>
      <c r="J75" s="1" t="str">
        <f>IFERROR(__xludf.DUMMYFUNCTION("""COMPUTED_VALUE"""),"NÃO")</f>
        <v>NÃO</v>
      </c>
      <c r="K75" s="5" t="str">
        <f>IFERROR(__xludf.DUMMYFUNCTION("""COMPUTED_VALUE"""),"#VALUE!")</f>
        <v>#VALUE!</v>
      </c>
      <c r="L75" s="1" t="str">
        <f>IFERROR(__xludf.DUMMYFUNCTION("""COMPUTED_VALUE"""),"CARLOS EDUARDO BRITA")</f>
        <v>CARLOS EDUARDO BRITA</v>
      </c>
      <c r="M75" s="1" t="str">
        <f>IFERROR(__xludf.DUMMYFUNCTION("""COMPUTED_VALUE"""),"SAADS")</f>
        <v>SAADS</v>
      </c>
      <c r="N75" s="1"/>
      <c r="O75" s="1"/>
    </row>
    <row r="76">
      <c r="A76" s="1">
        <f>IFERROR(__xludf.DUMMYFUNCTION("""COMPUTED_VALUE"""),75.0)</f>
        <v>75</v>
      </c>
      <c r="B76" s="1" t="str">
        <f>IFERROR(__xludf.DUMMYFUNCTION("""COMPUTED_VALUE"""),"010/2024")</f>
        <v>010/2024</v>
      </c>
      <c r="C76" s="1" t="str">
        <f>IFERROR(__xludf.DUMMYFUNCTION("""COMPUTED_VALUE"""),"SETASC-PRO-2024/03100")</f>
        <v>SETASC-PRO-2024/03100</v>
      </c>
      <c r="D76" s="1" t="str">
        <f>IFERROR(__xludf.DUMMYFUNCTION("""COMPUTED_VALUE"""),"GASOLINI COMÉRCIO E SERVIÇOS LTDA.")</f>
        <v>GASOLINI COMÉRCIO E SERVIÇOS LTDA.</v>
      </c>
      <c r="E76" s="1" t="str">
        <f>IFERROR(__xludf.DUMMYFUNCTION("""COMPUTED_VALUE"""),"O objeto do presente instrumento refere-se à aquisição de material de consumo, sendo gás de cozinha 13 KG e vasilhame de acondicionamento de 13Kg vazio, para atendimento a demanda da Secretaria de Estado de Assistência Social e Cidadania - SETASC, que der"&amp;"iva da Adesão Participe à Ata de Registro de Preços nº 025/2023/SEPLAG, decorrente do Pregão Eletrônico nº 025/2023/SEPLAG, em conformidade com o Instrumento Simplificado de Formalização da Demanda apresentado e demais anexos, independente de transcrição.")</f>
        <v>O objeto do presente instrumento refere-se à aquisição de material de consumo, sendo gás de cozinha 13 KG e vasilhame de acondicionamento de 13Kg vazio, para atendimento a demanda da Secretaria de Estado de Assistência Social e Cidadania - SETASC, que deriva da Adesão Participe à Ata de Registro de Preços nº 025/2023/SEPLAG, decorrente do Pregão Eletrônico nº 025/2023/SEPLAG, em conformidade com o Instrumento Simplificado de Formalização da Demanda apresentado e demais anexos, independente de transcrição.</v>
      </c>
      <c r="F76" s="1" t="str">
        <f>IFERROR(__xludf.DUMMYFUNCTION("""COMPUTED_VALUE"""),"20/05/2024 a 19/05/2026")</f>
        <v>20/05/2024 a 19/05/2026</v>
      </c>
      <c r="G76" s="1">
        <f>IFERROR(__xludf.DUMMYFUNCTION("""COMPUTED_VALUE"""),30.0)</f>
        <v>30</v>
      </c>
      <c r="H76" s="5">
        <f>IFERROR(__xludf.DUMMYFUNCTION("""COMPUTED_VALUE"""),18513.5)</f>
        <v>18513.5</v>
      </c>
      <c r="I76" s="5" t="str">
        <f>IFERROR(__xludf.DUMMYFUNCTION("""COMPUTED_VALUE"""),"DEMANDA ")</f>
        <v>DEMANDA </v>
      </c>
      <c r="J76" s="1" t="str">
        <f>IFERROR(__xludf.DUMMYFUNCTION("""COMPUTED_VALUE"""),"NÃO")</f>
        <v>NÃO</v>
      </c>
      <c r="K76" s="5">
        <f>IFERROR(__xludf.DUMMYFUNCTION("""COMPUTED_VALUE"""),14769.5)</f>
        <v>14769.5</v>
      </c>
      <c r="L76" s="1" t="str">
        <f>IFERROR(__xludf.DUMMYFUNCTION("""COMPUTED_VALUE"""),"CLAIR UGOLINI")</f>
        <v>CLAIR UGOLINI</v>
      </c>
      <c r="M76" s="1" t="str">
        <f>IFERROR(__xludf.DUMMYFUNCTION("""COMPUTED_VALUE"""),"SAADS")</f>
        <v>SAADS</v>
      </c>
      <c r="N76" s="1"/>
      <c r="O76" s="1"/>
    </row>
    <row r="77">
      <c r="A77" s="1">
        <f>IFERROR(__xludf.DUMMYFUNCTION("""COMPUTED_VALUE"""),76.0)</f>
        <v>76</v>
      </c>
      <c r="B77" s="1" t="str">
        <f>IFERROR(__xludf.DUMMYFUNCTION("""COMPUTED_VALUE"""),"005/2024")</f>
        <v>005/2024</v>
      </c>
      <c r="C77" s="1" t="str">
        <f>IFERROR(__xludf.DUMMYFUNCTION("""COMPUTED_VALUE"""),"SETASC-PRO-2024/00819")</f>
        <v>SETASC-PRO-2024/00819</v>
      </c>
      <c r="D77" s="1" t="str">
        <f>IFERROR(__xludf.DUMMYFUNCTION("""COMPUTED_VALUE"""),"OI S.A")</f>
        <v>OI S.A</v>
      </c>
      <c r="E77" s="1" t="str">
        <f>IFERROR(__xludf.DUMMYFUNCTION("""COMPUTED_VALUE"""),"O objeto do presente instrumento refere-se à contratação de serviço especializado de Telefonia Fixa Comutada, na modalidade Local, Serviço Telefônico Comutado de Longa Distância Nacional - LDN e Longa Distância Internacional - LDI (tecnologia E1), originá"&amp;"rios de terminais fixos, que deriva da Adesão Carona à Ata de Registro de Preços nº 023/2023/SEPLAG, decorrente do Pregão Eletrônico nº 024/2023/SEPLAG, nas condições estabelecidas no Termo de Referência.")</f>
        <v>O objeto do presente instrumento refere-se à contratação de serviço especializado de Telefonia Fixa Comutada, na modalidade Local, Serviço Telefônico Comutado de Longa Distância Nacional - LDN e Longa Distância Internacional - LDI (tecnologia E1), originários de terminais fixos, que deriva da Adesão Carona à Ata de Registro de Preços nº 023/2023/SEPLAG, decorrente do Pregão Eletrônico nº 024/2023/SEPLAG, nas condições estabelecidas no Termo de Referência.</v>
      </c>
      <c r="F77" s="1" t="str">
        <f>IFERROR(__xludf.DUMMYFUNCTION("""COMPUTED_VALUE"""),"27/03/2024 a 26/03/2026")</f>
        <v>27/03/2024 a 26/03/2026</v>
      </c>
      <c r="G77" s="1">
        <f>IFERROR(__xludf.DUMMYFUNCTION("""COMPUTED_VALUE"""),39.0)</f>
        <v>39</v>
      </c>
      <c r="H77" s="5">
        <f>IFERROR(__xludf.DUMMYFUNCTION("""COMPUTED_VALUE"""),209864.1)</f>
        <v>209864.1</v>
      </c>
      <c r="I77" s="5" t="str">
        <f>IFERROR(__xludf.DUMMYFUNCTION("""COMPUTED_VALUE"""),"CONTINUO ")</f>
        <v>CONTINUO </v>
      </c>
      <c r="J77" s="1" t="str">
        <f>IFERROR(__xludf.DUMMYFUNCTION("""COMPUTED_VALUE"""),"NÃO")</f>
        <v>NÃO</v>
      </c>
      <c r="K77" s="5">
        <f>IFERROR(__xludf.DUMMYFUNCTION("""COMPUTED_VALUE"""),265216.67)</f>
        <v>265216.67</v>
      </c>
      <c r="L77" s="1" t="str">
        <f>IFERROR(__xludf.DUMMYFUNCTION("""COMPUTED_VALUE"""),"ROBERTO WAGNER SANDRIN")</f>
        <v>ROBERTO WAGNER SANDRIN</v>
      </c>
      <c r="M77" s="1" t="str">
        <f>IFERROR(__xludf.DUMMYFUNCTION("""COMPUTED_VALUE"""),"SAADS")</f>
        <v>SAADS</v>
      </c>
      <c r="N77" s="1"/>
      <c r="O77" s="1"/>
    </row>
    <row r="78">
      <c r="A78" s="1">
        <f>IFERROR(__xludf.DUMMYFUNCTION("""COMPUTED_VALUE"""),77.0)</f>
        <v>77</v>
      </c>
      <c r="B78" s="1" t="str">
        <f>IFERROR(__xludf.DUMMYFUNCTION("""COMPUTED_VALUE"""),"064/2023")</f>
        <v>064/2023</v>
      </c>
      <c r="C78" s="1" t="str">
        <f>IFERROR(__xludf.DUMMYFUNCTION("""COMPUTED_VALUE"""),"SETASC-PRO-2023/09962")</f>
        <v>SETASC-PRO-2023/09962</v>
      </c>
      <c r="D78" s="1" t="str">
        <f>IFERROR(__xludf.DUMMYFUNCTION("""COMPUTED_VALUE"""),"G&amp;E SERVIÇOS TERCEIRIZADOS LTDA")</f>
        <v>G&amp;E SERVIÇOS TERCEIRIZADOS LTDA</v>
      </c>
      <c r="E78" s="1" t="str">
        <f>IFERROR(__xludf.DUMMYFUNCTION("""COMPUTED_VALUE"""),"O objeto do presente instrumento refere-se a contratação de empresa especializada em prestação de serviços contínuos de terceirização de mão de obra de motorista (carteira B), para atender às demandas da Secretaria de Estado de Assistência Social e Cidada"&amp;"nia – SETASC-MT, que deriva da Adesão Participe à Ata de Registro de Preços nº 011/2023/SEPLAG, decorrente do Pregão Eletrônico nº 019/2022/SEPLAG, em conformidade com o Termo de Referência/ Instrumento Simplificado de Formalização da Demanda, apresentado"&amp;" e demais anexos, independente de transcrição.")</f>
        <v>O objeto do presente instrumento refere-se a contratação de empresa especializada em prestação de serviços contínuos de terceirização de mão de obra de motorista (carteira B), para atender às demandas da Secretaria de Estado de Assistência Social e Cidadania – SETASC-MT, que deriva da Adesão Participe à Ata de Registro de Preços nº 011/2023/SEPLAG, decorrente do Pregão Eletrônico nº 019/2022/SEPLAG, em conformidade com o Termo de Referência/ Instrumento Simplificado de Formalização da Demanda, apresentado e demais anexos, independente de transcrição.</v>
      </c>
      <c r="F78" s="1" t="str">
        <f>IFERROR(__xludf.DUMMYFUNCTION("""COMPUTED_VALUE"""),"20/12/2023 a 19/12/2025 (NÃO VAI PRORROGAR)")</f>
        <v>20/12/2023 a 19/12/2025 (NÃO VAI PRORROGAR)</v>
      </c>
      <c r="G78" s="1">
        <f>IFERROR(__xludf.DUMMYFUNCTION("""COMPUTED_VALUE"""),37.0)</f>
        <v>37</v>
      </c>
      <c r="H78" s="5">
        <f>IFERROR(__xludf.DUMMYFUNCTION("""COMPUTED_VALUE"""),2058403.68)</f>
        <v>2058403.68</v>
      </c>
      <c r="I78" s="5" t="str">
        <f>IFERROR(__xludf.DUMMYFUNCTION("""COMPUTED_VALUE"""),"CONTINUO ")</f>
        <v>CONTINUO </v>
      </c>
      <c r="J78" s="1" t="str">
        <f>IFERROR(__xludf.DUMMYFUNCTION("""COMPUTED_VALUE"""),"NÃO")</f>
        <v>NÃO</v>
      </c>
      <c r="K78" s="5">
        <f>IFERROR(__xludf.DUMMYFUNCTION("""COMPUTED_VALUE"""),1456267.2699999998)</f>
        <v>1456267.27</v>
      </c>
      <c r="L78" s="1" t="str">
        <f>IFERROR(__xludf.DUMMYFUNCTION("""COMPUTED_VALUE"""),"GUILHERME LEITE CASTELLO BRANCO")</f>
        <v>GUILHERME LEITE CASTELLO BRANCO</v>
      </c>
      <c r="M78" s="1" t="str">
        <f>IFERROR(__xludf.DUMMYFUNCTION("""COMPUTED_VALUE"""),"SAADS")</f>
        <v>SAADS</v>
      </c>
      <c r="N78" s="1"/>
      <c r="O78" s="1"/>
    </row>
    <row r="79">
      <c r="A79" s="1">
        <f>IFERROR(__xludf.DUMMYFUNCTION("""COMPUTED_VALUE"""),78.0)</f>
        <v>78</v>
      </c>
      <c r="B79" s="1" t="str">
        <f>IFERROR(__xludf.DUMMYFUNCTION("""COMPUTED_VALUE"""),"060/2023")</f>
        <v>060/2023</v>
      </c>
      <c r="C79" s="1" t="str">
        <f>IFERROR(__xludf.DUMMYFUNCTION("""COMPUTED_VALUE"""),"SETASC-PRO-2023/10585")</f>
        <v>SETASC-PRO-2023/10585</v>
      </c>
      <c r="D79" s="1" t="str">
        <f>IFERROR(__xludf.DUMMYFUNCTION("""COMPUTED_VALUE"""),"CAPRIATA DE SOUZA LIMA E SOUZA LIMA LTDA.-ME")</f>
        <v>CAPRIATA DE SOUZA LIMA E SOUZA LIMA LTDA.-ME</v>
      </c>
      <c r="E79" s="1" t="str">
        <f>IFERROR(__xludf.DUMMYFUNCTION("""COMPUTED_VALUE"""),"O objeto do presente instrumento é aquisição de kits de doces para distribuição em datas comemorativas às crianças em situação de vulnerabilidade social.")</f>
        <v>O objeto do presente instrumento é aquisição de kits de doces para distribuição em datas comemorativas às crianças em situação de vulnerabilidade social.</v>
      </c>
      <c r="F79" s="1" t="str">
        <f>IFERROR(__xludf.DUMMYFUNCTION("""COMPUTED_VALUE"""),"05/12/2023 a 04/12/2025")</f>
        <v>05/12/2023 a 04/12/2025</v>
      </c>
      <c r="G79" s="1">
        <f>IFERROR(__xludf.DUMMYFUNCTION("""COMPUTED_VALUE"""),32.0)</f>
        <v>32</v>
      </c>
      <c r="H79" s="5">
        <f>IFERROR(__xludf.DUMMYFUNCTION("""COMPUTED_VALUE"""),2004000.0)</f>
        <v>2004000</v>
      </c>
      <c r="I79" s="5" t="str">
        <f>IFERROR(__xludf.DUMMYFUNCTION("""COMPUTED_VALUE"""),"DEMANDA ")</f>
        <v>DEMANDA </v>
      </c>
      <c r="J79" s="1" t="str">
        <f>IFERROR(__xludf.DUMMYFUNCTION("""COMPUTED_VALUE"""),"NÃO ")</f>
        <v>NÃO </v>
      </c>
      <c r="K79" s="5">
        <f>IFERROR(__xludf.DUMMYFUNCTION("""COMPUTED_VALUE"""),263025.0)</f>
        <v>263025</v>
      </c>
      <c r="L79" s="1" t="str">
        <f>IFERROR(__xludf.DUMMYFUNCTION("""COMPUTED_VALUE"""),"ROSENIR CAPRIATA DE SOUZA LIMA")</f>
        <v>ROSENIR CAPRIATA DE SOUZA LIMA</v>
      </c>
      <c r="M79" s="1" t="str">
        <f>IFERROR(__xludf.DUMMYFUNCTION("""COMPUTED_VALUE"""),"SACIS")</f>
        <v>SACIS</v>
      </c>
      <c r="N79" s="1"/>
      <c r="O79" s="1"/>
    </row>
    <row r="80">
      <c r="A80" s="1">
        <f>IFERROR(__xludf.DUMMYFUNCTION("""COMPUTED_VALUE"""),79.0)</f>
        <v>79</v>
      </c>
      <c r="B80" s="1" t="str">
        <f>IFERROR(__xludf.DUMMYFUNCTION("""COMPUTED_VALUE"""),"058/2023")</f>
        <v>058/2023</v>
      </c>
      <c r="C80" s="1" t="str">
        <f>IFERROR(__xludf.DUMMYFUNCTION("""COMPUTED_VALUE"""),"SETASC-PRO-2023/10250")</f>
        <v>SETASC-PRO-2023/10250</v>
      </c>
      <c r="D80" s="1" t="str">
        <f>IFERROR(__xludf.DUMMYFUNCTION("""COMPUTED_VALUE"""),"LM ORGANIZAÇÃO HOTELARIA LTDA.")</f>
        <v>LM ORGANIZAÇÃO HOTELARIA LTDA.</v>
      </c>
      <c r="E80" s="1" t="str">
        <f>IFERROR(__xludf.DUMMYFUNCTION("""COMPUTED_VALUE"""),"O objeto do presente instrumento é à contratação de empresa especializada para a prestação de serviços de hospedagem com alimentação nos municípios de Cuiabá/MT e Várzea Grande/MT.")</f>
        <v>O objeto do presente instrumento é à contratação de empresa especializada para a prestação de serviços de hospedagem com alimentação nos municípios de Cuiabá/MT e Várzea Grande/MT.</v>
      </c>
      <c r="F80" s="1" t="str">
        <f>IFERROR(__xludf.DUMMYFUNCTION("""COMPUTED_VALUE"""),"30/11/2023 a 29/11/2025")</f>
        <v>30/11/2023 a 29/11/2025</v>
      </c>
      <c r="G80" s="1">
        <f>IFERROR(__xludf.DUMMYFUNCTION("""COMPUTED_VALUE"""),39.0)</f>
        <v>39</v>
      </c>
      <c r="H80" s="5">
        <f>IFERROR(__xludf.DUMMYFUNCTION("""COMPUTED_VALUE"""),1689999.8)</f>
        <v>1689999.8</v>
      </c>
      <c r="I80" s="5" t="str">
        <f>IFERROR(__xludf.DUMMYFUNCTION("""COMPUTED_VALUE"""),"DEMANDA ")</f>
        <v>DEMANDA </v>
      </c>
      <c r="J80" s="1" t="str">
        <f>IFERROR(__xludf.DUMMYFUNCTION("""COMPUTED_VALUE"""),"NÃO ")</f>
        <v>NÃO </v>
      </c>
      <c r="K80" s="5">
        <f>IFERROR(__xludf.DUMMYFUNCTION("""COMPUTED_VALUE"""),1590143.68)</f>
        <v>1590143.68</v>
      </c>
      <c r="L80" s="1" t="str">
        <f>IFERROR(__xludf.DUMMYFUNCTION("""COMPUTED_VALUE"""),"LEOPOLDO MARIO NIGRO FILHO")</f>
        <v>LEOPOLDO MARIO NIGRO FILHO</v>
      </c>
      <c r="M80" s="1" t="str">
        <f>IFERROR(__xludf.DUMMYFUNCTION("""COMPUTED_VALUE"""),"SAADS")</f>
        <v>SAADS</v>
      </c>
      <c r="N80" s="1"/>
      <c r="O80" s="1"/>
    </row>
    <row r="81">
      <c r="A81" s="1">
        <f>IFERROR(__xludf.DUMMYFUNCTION("""COMPUTED_VALUE"""),80.0)</f>
        <v>80</v>
      </c>
      <c r="B81" s="1" t="str">
        <f>IFERROR(__xludf.DUMMYFUNCTION("""COMPUTED_VALUE"""),"057/2023")</f>
        <v>057/2023</v>
      </c>
      <c r="C81" s="1" t="str">
        <f>IFERROR(__xludf.DUMMYFUNCTION("""COMPUTED_VALUE"""),"SETASC-PRO-2023/09083")</f>
        <v>SETASC-PRO-2023/09083</v>
      </c>
      <c r="D81" s="1" t="str">
        <f>IFERROR(__xludf.DUMMYFUNCTION("""COMPUTED_VALUE"""),"CS BRASIL FROTAS S.A.")</f>
        <v>CS BRASIL FROTAS S.A.</v>
      </c>
      <c r="E81" s="1" t="str">
        <f>IFERROR(__xludf.DUMMYFUNCTION("""COMPUTED_VALUE"""),"O objeto do presente instrumento refere-se a contratação de empresa especializada na prestação de serviços de locação de veículos administrativos, categoria minivan (sem motorista e sem combustível), devidamente licenciados junto ao DETRAN, com quilometra"&amp;"gem livre, incluindo seguro, monitoramento por sistema GPS/GSM/GPRS, manutenção veicular, insulfilm e adesivagem para atender aos da Secretaria de Estado de Assistência Social e Cidadania- SETASC e suas unidades descentralizadas, que deriva da Adesão Part"&amp;"icipe à Ata de Registro de Preços nº 013/2023/SEPLAG, decorrente do Pregão Eletrônico nº 008/2023/SEPLAG, em conformidade com o Termo de Referência apresentado e demais anexos, independente de transcrição.")</f>
        <v>O objeto do presente instrumento refere-se a contratação de empresa especializada na prestação de serviços de locação de veículos administrativos, categoria minivan (sem motorista e sem combustível), devidamente licenciados junto ao DETRAN, com quilometragem livre, incluindo seguro, monitoramento por sistema GPS/GSM/GPRS, manutenção veicular, insulfilm e adesivagem para atender aos da Secretaria de Estado de Assistência Social e Cidadania- SETASC e suas unidades descentralizadas, que deriva da Adesão Participe à Ata de Registro de Preços nº 013/2023/SEPLAG, decorrente do Pregão Eletrônico nº 008/2023/SEPLAG, em conformidade com o Termo de Referência apresentado e demais anexos, independente de transcrição.</v>
      </c>
      <c r="F81" s="1" t="str">
        <f>IFERROR(__xludf.DUMMYFUNCTION("""COMPUTED_VALUE"""),"29/11/2023 a 28/11/2025 (NÃO VAI PRORROGAR)")</f>
        <v>29/11/2023 a 28/11/2025 (NÃO VAI PRORROGAR)</v>
      </c>
      <c r="G81" s="1">
        <f>IFERROR(__xludf.DUMMYFUNCTION("""COMPUTED_VALUE"""),39.0)</f>
        <v>39</v>
      </c>
      <c r="H81" s="5">
        <f>IFERROR(__xludf.DUMMYFUNCTION("""COMPUTED_VALUE"""),297600.0)</f>
        <v>297600</v>
      </c>
      <c r="I81" s="5" t="str">
        <f>IFERROR(__xludf.DUMMYFUNCTION("""COMPUTED_VALUE"""),"DEMANDA ")</f>
        <v>DEMANDA </v>
      </c>
      <c r="J81" s="1" t="str">
        <f>IFERROR(__xludf.DUMMYFUNCTION("""COMPUTED_VALUE"""),"NÃO")</f>
        <v>NÃO</v>
      </c>
      <c r="K81" s="5">
        <f>IFERROR(__xludf.DUMMYFUNCTION("""COMPUTED_VALUE"""),79463.33000000002)</f>
        <v>79463.33</v>
      </c>
      <c r="L81" s="1" t="str">
        <f>IFERROR(__xludf.DUMMYFUNCTION("""COMPUTED_VALUE"""),"ANSELMO TOLENTINO SOARES JUNIOR")</f>
        <v>ANSELMO TOLENTINO SOARES JUNIOR</v>
      </c>
      <c r="M81" s="1" t="str">
        <f>IFERROR(__xludf.DUMMYFUNCTION("""COMPUTED_VALUE"""),"SAADS")</f>
        <v>SAADS</v>
      </c>
      <c r="N81" s="1"/>
      <c r="O81" s="1"/>
    </row>
    <row r="82">
      <c r="A82" s="1">
        <f>IFERROR(__xludf.DUMMYFUNCTION("""COMPUTED_VALUE"""),81.0)</f>
        <v>81</v>
      </c>
      <c r="B82" s="1" t="str">
        <f>IFERROR(__xludf.DUMMYFUNCTION("""COMPUTED_VALUE"""),"056/2023")</f>
        <v>056/2023</v>
      </c>
      <c r="C82" s="1" t="str">
        <f>IFERROR(__xludf.DUMMYFUNCTION("""COMPUTED_VALUE"""),"SETASC-PRO-2023/09201")</f>
        <v>SETASC-PRO-2023/09201</v>
      </c>
      <c r="D82" s="1" t="str">
        <f>IFERROR(__xludf.DUMMYFUNCTION("""COMPUTED_VALUE"""),"CS BRASIL FROTAS S.A.")</f>
        <v>CS BRASIL FROTAS S.A.</v>
      </c>
      <c r="E82" s="1" t="str">
        <f>IFERROR(__xludf.DUMMYFUNCTION("""COMPUTED_VALUE"""),"O objeto do presente instrumento refere-se a contratação de empresa especializada na prestação de serviços de locação de veículos administrativos, categoria sedan (sem motorista e sem combustível), devidamente licenciados junto ao DETRAN, com quilometrage"&amp;"m livre, incluindo seguro, monitoramento por sistema GPS/GSM/GPRS, manutenção veicular, insulfilm e adesivagem para atender aos da Secretaria de Estado de Assistência Social e Cidadania- SETASC e suas unidades descentralizadas, que deriva da Adesão Partic"&amp;"ipe à Ata de Registro de Preços nº 005/2023/SEPLAG, decorrente do Pregão Eletrônico nº 003/2023/SEPLAG, em conformidade com o Termo de Referência apresentado e demais anexos, independente de transcrição.")</f>
        <v>O objeto do presente instrumento refere-se a contratação de empresa especializada na prestação de serviços de locação de veículos administrativos, categoria sedan (sem motorista e sem combustível), devidamente licenciados junto ao DETRAN, com quilometragem livre, incluindo seguro, monitoramento por sistema GPS/GSM/GPRS, manutenção veicular, insulfilm e adesivagem para atender aos da Secretaria de Estado de Assistência Social e Cidadania- SETASC e suas unidades descentralizadas, que deriva da Adesão Participe à Ata de Registro de Preços nº 005/2023/SEPLAG, decorrente do Pregão Eletrônico nº 003/2023/SEPLAG, em conformidade com o Termo de Referência apresentado e demais anexos, independente de transcrição.</v>
      </c>
      <c r="F82" s="1" t="str">
        <f>IFERROR(__xludf.DUMMYFUNCTION("""COMPUTED_VALUE"""),"29/11/2023 a 28/11/2025 (NÃO VAI PRORROGAR)")</f>
        <v>29/11/2023 a 28/11/2025 (NÃO VAI PRORROGAR)</v>
      </c>
      <c r="G82" s="1">
        <f>IFERROR(__xludf.DUMMYFUNCTION("""COMPUTED_VALUE"""),39.0)</f>
        <v>39</v>
      </c>
      <c r="H82" s="5">
        <f>IFERROR(__xludf.DUMMYFUNCTION("""COMPUTED_VALUE"""),303542.4)</f>
        <v>303542.4</v>
      </c>
      <c r="I82" s="5" t="str">
        <f>IFERROR(__xludf.DUMMYFUNCTION("""COMPUTED_VALUE"""),"DEMANDA ")</f>
        <v>DEMANDA </v>
      </c>
      <c r="J82" s="1" t="str">
        <f>IFERROR(__xludf.DUMMYFUNCTION("""COMPUTED_VALUE"""),"NÃO")</f>
        <v>NÃO</v>
      </c>
      <c r="K82" s="5">
        <f>IFERROR(__xludf.DUMMYFUNCTION("""COMPUTED_VALUE"""),70573.60999999996)</f>
        <v>70573.61</v>
      </c>
      <c r="L82" s="1" t="str">
        <f>IFERROR(__xludf.DUMMYFUNCTION("""COMPUTED_VALUE"""),"ANSELMO TOLENTINO SOARES JUNIOR")</f>
        <v>ANSELMO TOLENTINO SOARES JUNIOR</v>
      </c>
      <c r="M82" s="1" t="str">
        <f>IFERROR(__xludf.DUMMYFUNCTION("""COMPUTED_VALUE"""),"SAADS")</f>
        <v>SAADS</v>
      </c>
      <c r="N82" s="1"/>
      <c r="O82" s="1"/>
    </row>
    <row r="83">
      <c r="A83" s="1">
        <f>IFERROR(__xludf.DUMMYFUNCTION("""COMPUTED_VALUE"""),82.0)</f>
        <v>82</v>
      </c>
      <c r="B83" s="1" t="str">
        <f>IFERROR(__xludf.DUMMYFUNCTION("""COMPUTED_VALUE"""),"055/2023")</f>
        <v>055/2023</v>
      </c>
      <c r="C83" s="1" t="str">
        <f>IFERROR(__xludf.DUMMYFUNCTION("""COMPUTED_VALUE"""),"SETASC-PRO-2023/09123")</f>
        <v>SETASC-PRO-2023/09123</v>
      </c>
      <c r="D83" s="1" t="str">
        <f>IFERROR(__xludf.DUMMYFUNCTION("""COMPUTED_VALUE"""),"SUPER ESTÁGIOS LTDA.")</f>
        <v>SUPER ESTÁGIOS LTDA.</v>
      </c>
      <c r="E83" s="1" t="str">
        <f>IFERROR(__xludf.DUMMYFUNCTION("""COMPUTED_VALUE"""),"O objeto do presente instrumento refere-se à contratação de serviços para agenciamento de estudantes do ensino médio, e pós-graduação (lato e stricto sensu), para preenchimento de bolsas de estágio, em atendimento à demanda, em atendimento à demanda da Se"&amp;"cretaria de Estado de Assistência Social e Cidadania – SETASC e suas descentralizadas, que deriva da Adesão Participe à Ata de Registro de Preços nº 012/2023/SEPLAG, decorrente do Pregão Eletrônico nº 012/2023/SEPLAG, em conformidade com o Termo de Referê"&amp;"ncia apresentado e demais anexos, independente de transcrição.")</f>
        <v>O objeto do presente instrumento refere-se à contratação de serviços para agenciamento de estudantes do ensino médio, e pós-graduação (lato e stricto sensu), para preenchimento de bolsas de estágio, em atendimento à demanda, em atendimento à demanda da Secretaria de Estado de Assistência Social e Cidadania – SETASC e suas descentralizadas, que deriva da Adesão Participe à Ata de Registro de Preços nº 012/2023/SEPLAG, decorrente do Pregão Eletrônico nº 012/2023/SEPLAG, em conformidade com o Termo de Referência apresentado e demais anexos, independente de transcrição.</v>
      </c>
      <c r="F83" s="1" t="str">
        <f>IFERROR(__xludf.DUMMYFUNCTION("""COMPUTED_VALUE"""),"28/11/2023 a 27/11/2025 (ADITIVO EM ANDAMENTO)")</f>
        <v>28/11/2023 a 27/11/2025 (ADITIVO EM ANDAMENTO)</v>
      </c>
      <c r="G83" s="1">
        <f>IFERROR(__xludf.DUMMYFUNCTION("""COMPUTED_VALUE"""),37.0)</f>
        <v>37</v>
      </c>
      <c r="H83" s="5">
        <f>IFERROR(__xludf.DUMMYFUNCTION("""COMPUTED_VALUE"""),13172.4)</f>
        <v>13172.4</v>
      </c>
      <c r="I83" s="5" t="str">
        <f>IFERROR(__xludf.DUMMYFUNCTION("""COMPUTED_VALUE"""),"CONTINUO ")</f>
        <v>CONTINUO </v>
      </c>
      <c r="J83" s="1" t="str">
        <f>IFERROR(__xludf.DUMMYFUNCTION("""COMPUTED_VALUE"""),"NÃO ")</f>
        <v>NÃO </v>
      </c>
      <c r="K83" s="5">
        <f>IFERROR(__xludf.DUMMYFUNCTION("""COMPUTED_VALUE"""),6375.090000000003)</f>
        <v>6375.09</v>
      </c>
      <c r="L83" s="1" t="str">
        <f>IFERROR(__xludf.DUMMYFUNCTION("""COMPUTED_VALUE"""),"EMERSON CARVALHO REDEZ")</f>
        <v>EMERSON CARVALHO REDEZ</v>
      </c>
      <c r="M83" s="1" t="str">
        <f>IFERROR(__xludf.DUMMYFUNCTION("""COMPUTED_VALUE"""),"SAADS")</f>
        <v>SAADS</v>
      </c>
      <c r="N83" s="1"/>
      <c r="O83" s="1"/>
    </row>
    <row r="84">
      <c r="A84" s="1">
        <f>IFERROR(__xludf.DUMMYFUNCTION("""COMPUTED_VALUE"""),83.0)</f>
        <v>83</v>
      </c>
      <c r="B84" s="1" t="str">
        <f>IFERROR(__xludf.DUMMYFUNCTION("""COMPUTED_VALUE"""),"054/2023")</f>
        <v>054/2023</v>
      </c>
      <c r="C84" s="1" t="str">
        <f>IFERROR(__xludf.DUMMYFUNCTION("""COMPUTED_VALUE"""),"SETASC-PRO-2023/09120")</f>
        <v>SETASC-PRO-2023/09120</v>
      </c>
      <c r="D84" s="1" t="str">
        <f>IFERROR(__xludf.DUMMYFUNCTION("""COMPUTED_VALUE"""),"UNIVERSIDADE PATATIVA DO ASSARÉ")</f>
        <v>UNIVERSIDADE PATATIVA DO ASSARÉ</v>
      </c>
      <c r="E84" s="1" t="str">
        <f>IFERROR(__xludf.DUMMYFUNCTION("""COMPUTED_VALUE"""),"O objeto do presente instrumento refere-se à contratação de serviços para agenciamento de estudantes de graduação, para preenchimento de bolsas de estágio, em atendimento à demanda da Secretaria de Estado de Assistência Social e Cidadania – SETASC e suas "&amp;"descentralizadas, que deriva da Adesão Participe à Ata de Registro de Preços nº 012/2023/SEPLAG, decorrente do Pregão Eletrônico nº 012/2023/SEPLAG, em conformidade com o Termo de Referência apresentado e demais anexos, independente de transcrição.")</f>
        <v>O objeto do presente instrumento refere-se à contratação de serviços para agenciamento de estudantes de graduação, para preenchimento de bolsas de estágio, em atendimento à demanda da Secretaria de Estado de Assistência Social e Cidadania – SETASC e suas descentralizadas, que deriva da Adesão Participe à Ata de Registro de Preços nº 012/2023/SEPLAG, decorrente do Pregão Eletrônico nº 012/2023/SEPLAG, em conformidade com o Termo de Referência apresentado e demais anexos, independente de transcrição.</v>
      </c>
      <c r="F84" s="1" t="str">
        <f>IFERROR(__xludf.DUMMYFUNCTION("""COMPUTED_VALUE"""),"21/11/2023 a 20/11/2025 (ADITIVO EM ANDAMENTO)")</f>
        <v>21/11/2023 a 20/11/2025 (ADITIVO EM ANDAMENTO)</v>
      </c>
      <c r="G84" s="1">
        <f>IFERROR(__xludf.DUMMYFUNCTION("""COMPUTED_VALUE"""),37.0)</f>
        <v>37</v>
      </c>
      <c r="H84" s="5">
        <f>IFERROR(__xludf.DUMMYFUNCTION("""COMPUTED_VALUE"""),9964.8)</f>
        <v>9964.8</v>
      </c>
      <c r="I84" s="5" t="str">
        <f>IFERROR(__xludf.DUMMYFUNCTION("""COMPUTED_VALUE"""),"CONTINUO ")</f>
        <v>CONTINUO </v>
      </c>
      <c r="J84" s="1" t="str">
        <f>IFERROR(__xludf.DUMMYFUNCTION("""COMPUTED_VALUE"""),"NÃO")</f>
        <v>NÃO</v>
      </c>
      <c r="K84" s="5">
        <f>IFERROR(__xludf.DUMMYFUNCTION("""COMPUTED_VALUE"""),3501.5199999999977)</f>
        <v>3501.52</v>
      </c>
      <c r="L84" s="1" t="str">
        <f>IFERROR(__xludf.DUMMYFUNCTION("""COMPUTED_VALUE"""),"FRANCISCO PALÁCIO LEITE")</f>
        <v>FRANCISCO PALÁCIO LEITE</v>
      </c>
      <c r="M84" s="1" t="str">
        <f>IFERROR(__xludf.DUMMYFUNCTION("""COMPUTED_VALUE"""),"SAADS")</f>
        <v>SAADS</v>
      </c>
      <c r="N84" s="1"/>
      <c r="O84" s="1"/>
    </row>
    <row r="85">
      <c r="A85" s="1">
        <f>IFERROR(__xludf.DUMMYFUNCTION("""COMPUTED_VALUE"""),84.0)</f>
        <v>84</v>
      </c>
      <c r="B85" s="1" t="str">
        <f>IFERROR(__xludf.DUMMYFUNCTION("""COMPUTED_VALUE"""),"044/2023")</f>
        <v>044/2023</v>
      </c>
      <c r="C85" s="12" t="str">
        <f>IFERROR(__xludf.DUMMYFUNCTION("""COMPUTED_VALUE"""),"SETASC-PRO-2023/08073")</f>
        <v>SETASC-PRO-2023/08073</v>
      </c>
      <c r="D85" s="1" t="str">
        <f>IFERROR(__xludf.DUMMYFUNCTION("""COMPUTED_VALUE"""),"REFEIÇÕES NORTE SUL EIRELI.")</f>
        <v>REFEIÇÕES NORTE SUL EIRELI.</v>
      </c>
      <c r="E85" s="1" t="str">
        <f>IFERROR(__xludf.DUMMYFUNCTION("""COMPUTED_VALUE"""),"O objeto do presente instrumento é à contratação de serviço especializado de fornecimento de refeição preparada para desenvolver as atividades de gestão e manutenção do Restaurante Prato Popular, unidade Cuiabá, com fornecimento de refeições de qualidade,"&amp;" à população em insegurança alimentar nutricional, a preços acessíveis para atender a demanda da Secretaria de Estado de Assistência Social e Cidadania – SETASC-MT, nos termos da tabela abaixo, conforme condições e exigências estabelecidas neste instrumen"&amp;"to.")</f>
        <v>O objeto do presente instrumento é à contratação de serviço especializado de fornecimento de refeição preparada para desenvolver as atividades de gestão e manutenção do Restaurante Prato Popular, unidade Cuiabá, com fornecimento de refeições de qualidade, à população em insegurança alimentar nutricional, a preços acessíveis para atender a demanda da Secretaria de Estado de Assistência Social e Cidadania – SETASC-MT, nos termos da tabela abaixo, conforme condições e exigências estabelecidas neste instrumento.</v>
      </c>
      <c r="F85" s="1" t="str">
        <f>IFERROR(__xludf.DUMMYFUNCTION("""COMPUTED_VALUE"""),"19/09/2023 a 18/09/2026")</f>
        <v>19/09/2023 a 18/09/2026</v>
      </c>
      <c r="G85" s="1">
        <f>IFERROR(__xludf.DUMMYFUNCTION("""COMPUTED_VALUE"""),30.0)</f>
        <v>30</v>
      </c>
      <c r="H85" s="5">
        <f>IFERROR(__xludf.DUMMYFUNCTION("""COMPUTED_VALUE"""),3971520.0)</f>
        <v>3971520</v>
      </c>
      <c r="I85" s="5" t="str">
        <f>IFERROR(__xludf.DUMMYFUNCTION("""COMPUTED_VALUE"""),"CONTINUO ")</f>
        <v>CONTINUO </v>
      </c>
      <c r="J85" s="1" t="str">
        <f>IFERROR(__xludf.DUMMYFUNCTION("""COMPUTED_VALUE"""),"NÃO")</f>
        <v>NÃO</v>
      </c>
      <c r="K85" s="5">
        <f>IFERROR(__xludf.DUMMYFUNCTION("""COMPUTED_VALUE"""),924127.3000000003)</f>
        <v>924127.3</v>
      </c>
      <c r="L85" s="1" t="str">
        <f>IFERROR(__xludf.DUMMYFUNCTION("""COMPUTED_VALUE"""),"ZAIDE MARIA NECKEL")</f>
        <v>ZAIDE MARIA NECKEL</v>
      </c>
      <c r="M85" s="1" t="str">
        <f>IFERROR(__xludf.DUMMYFUNCTION("""COMPUTED_VALUE"""),"SACIS")</f>
        <v>SACIS</v>
      </c>
      <c r="N85" s="1"/>
      <c r="O85" s="1"/>
    </row>
    <row r="86">
      <c r="A86" s="1">
        <f>IFERROR(__xludf.DUMMYFUNCTION("""COMPUTED_VALUE"""),85.0)</f>
        <v>85</v>
      </c>
      <c r="B86" s="1" t="str">
        <f>IFERROR(__xludf.DUMMYFUNCTION("""COMPUTED_VALUE"""),"043/2023")</f>
        <v>043/2023</v>
      </c>
      <c r="C86" s="1" t="str">
        <f>IFERROR(__xludf.DUMMYFUNCTION("""COMPUTED_VALUE"""),"SETASC-PRO-2023/07718")</f>
        <v>SETASC-PRO-2023/07718</v>
      </c>
      <c r="D86" s="1" t="str">
        <f>IFERROR(__xludf.DUMMYFUNCTION("""COMPUTED_VALUE"""),"R. GONÇALVES DE CARVALHO EIRELI")</f>
        <v>R. GONÇALVES DE CARVALHO EIRELI</v>
      </c>
      <c r="E86" s="1" t="str">
        <f>IFERROR(__xludf.DUMMYFUNCTION("""COMPUTED_VALUE"""),"O objeto do presente instrumento é a contratação pessoa jurídica especializada na prestação de serviço de locação de 01 (uma) empilhadeira, incluindo mão de obra (operador capacitado), combustível e todos os custos necessários para prestação do serviço, n"&amp;"os termos da tabela abaixo, conforme condições e exigências estabelecidas neste instrumento.")</f>
        <v>O objeto do presente instrumento é a contratação pessoa jurídica especializada na prestação de serviço de locação de 01 (uma) empilhadeira, incluindo mão de obra (operador capacitado), combustível e todos os custos necessários para prestação do serviço, nos termos da tabela abaixo, conforme condições e exigências estabelecidas neste instrumento.</v>
      </c>
      <c r="F86" s="1" t="str">
        <f>IFERROR(__xludf.DUMMYFUNCTION("""COMPUTED_VALUE"""),"12/09/2023 a 11/09/2027")</f>
        <v>12/09/2023 a 11/09/2027</v>
      </c>
      <c r="G86" s="1">
        <f>IFERROR(__xludf.DUMMYFUNCTION("""COMPUTED_VALUE"""),39.0)</f>
        <v>39</v>
      </c>
      <c r="H86" s="5">
        <f>IFERROR(__xludf.DUMMYFUNCTION("""COMPUTED_VALUE"""),378000.0)</f>
        <v>378000</v>
      </c>
      <c r="I86" s="5" t="str">
        <f>IFERROR(__xludf.DUMMYFUNCTION("""COMPUTED_VALUE"""),"CONTINUO ")</f>
        <v>CONTINUO </v>
      </c>
      <c r="J86" s="1" t="str">
        <f>IFERROR(__xludf.DUMMYFUNCTION("""COMPUTED_VALUE"""),"NÃO")</f>
        <v>NÃO</v>
      </c>
      <c r="K86" s="5">
        <f>IFERROR(__xludf.DUMMYFUNCTION("""COMPUTED_VALUE"""),0.0)</f>
        <v>0</v>
      </c>
      <c r="L86" s="1" t="str">
        <f>IFERROR(__xludf.DUMMYFUNCTION("""COMPUTED_VALUE"""),"RAPHAEL DOS SANTOS RONDON")</f>
        <v>RAPHAEL DOS SANTOS RONDON</v>
      </c>
      <c r="M86" s="1" t="str">
        <f>IFERROR(__xludf.DUMMYFUNCTION("""COMPUTED_VALUE"""),"SACIS")</f>
        <v>SACIS</v>
      </c>
      <c r="N86" s="1"/>
      <c r="O86" s="1"/>
    </row>
    <row r="87">
      <c r="A87" s="1">
        <f>IFERROR(__xludf.DUMMYFUNCTION("""COMPUTED_VALUE"""),86.0)</f>
        <v>86</v>
      </c>
      <c r="B87" s="1" t="str">
        <f>IFERROR(__xludf.DUMMYFUNCTION("""COMPUTED_VALUE"""),"030/2023")</f>
        <v>030/2023</v>
      </c>
      <c r="C87" s="1" t="str">
        <f>IFERROR(__xludf.DUMMYFUNCTION("""COMPUTED_VALUE"""),"SETASC-PRO-2023/03254")</f>
        <v>SETASC-PRO-2023/03254</v>
      </c>
      <c r="D87" s="1" t="str">
        <f>IFERROR(__xludf.DUMMYFUNCTION("""COMPUTED_VALUE"""),"ART CAR VEÍCULOS LTDA.")</f>
        <v>ART CAR VEÍCULOS LTDA.</v>
      </c>
      <c r="E87" s="1" t="str">
        <f>IFERROR(__xludf.DUMMYFUNCTION("""COMPUTED_VALUE"""),"O objeto do presente instrumento refere-se à contratação de empresa especializada na prestação de Serviços de Locação de Veículos Administrativos, categorias diversas (sem motorista e sem combustível), devidamente licenciados junto ao DETRAN, com quilomet"&amp;"ragem livre, incluindo seguro, monitoramento por sistema GPS/GSM/GPRS, manutenção veicular, insulfim e adesivagem para atender as demandas da Secretaria de Estado de Assistência Social e Cidadania- SETASC e suas unidades descentralizadas, que deriva da Ad"&amp;"esão Participe à Ata de Registro de Preços nº 005/2023/SEPLAG, decorrente do Pregão Eletrônico nº 003/2023/SEPLAG, em conformidade com o Termo de Referência apresentado e demais anexos, independente de transcrição.")</f>
        <v>O objeto do presente instrumento refere-se à contratação de empresa especializada na prestação de Serviços de Locação de Veículos Administrativos, categorias diversas (sem motorista e sem combustível), devidamente licenciados junto ao DETRAN, com quilometragem livre, incluindo seguro, monitoramento por sistema GPS/GSM/GPRS, manutenção veicular, insulfim e adesivagem para atender as demandas da Secretaria de Estado de Assistência Social e Cidadania- SETASC e suas unidades descentralizadas, que deriva da Adesão Participe à Ata de Registro de Preços nº 005/2023/SEPLAG, decorrente do Pregão Eletrônico nº 003/2023/SEPLAG, em conformidade com o Termo de Referência apresentado e demais anexos, independente de transcrição.</v>
      </c>
      <c r="F87" s="1" t="str">
        <f>IFERROR(__xludf.DUMMYFUNCTION("""COMPUTED_VALUE"""),"16/05/2023 a 15/05/2026")</f>
        <v>16/05/2023 a 15/05/2026</v>
      </c>
      <c r="G87" s="1">
        <f>IFERROR(__xludf.DUMMYFUNCTION("""COMPUTED_VALUE"""),39.0)</f>
        <v>39</v>
      </c>
      <c r="H87" s="5">
        <f>IFERROR(__xludf.DUMMYFUNCTION("""COMPUTED_VALUE"""),371640.0)</f>
        <v>371640</v>
      </c>
      <c r="I87" s="5" t="str">
        <f>IFERROR(__xludf.DUMMYFUNCTION("""COMPUTED_VALUE"""),"CONTINUO ")</f>
        <v>CONTINUO </v>
      </c>
      <c r="J87" s="1" t="str">
        <f>IFERROR(__xludf.DUMMYFUNCTION("""COMPUTED_VALUE"""),"NÃO")</f>
        <v>NÃO</v>
      </c>
      <c r="K87" s="5">
        <f>IFERROR(__xludf.DUMMYFUNCTION("""COMPUTED_VALUE"""),-33654.06)</f>
        <v>-33654.06</v>
      </c>
      <c r="L87" s="1" t="str">
        <f>IFERROR(__xludf.DUMMYFUNCTION("""COMPUTED_VALUE"""),"VIVIANE BELOTO RIBEIRO")</f>
        <v>VIVIANE BELOTO RIBEIRO</v>
      </c>
      <c r="M87" s="1" t="str">
        <f>IFERROR(__xludf.DUMMYFUNCTION("""COMPUTED_VALUE"""),"SAADS")</f>
        <v>SAADS</v>
      </c>
      <c r="N87" s="1"/>
      <c r="O87" s="1"/>
    </row>
    <row r="88">
      <c r="A88" s="1">
        <f>IFERROR(__xludf.DUMMYFUNCTION("""COMPUTED_VALUE"""),87.0)</f>
        <v>87</v>
      </c>
      <c r="B88" s="1" t="str">
        <f>IFERROR(__xludf.DUMMYFUNCTION("""COMPUTED_VALUE"""),"029/2023")</f>
        <v>029/2023</v>
      </c>
      <c r="C88" s="1" t="str">
        <f>IFERROR(__xludf.DUMMYFUNCTION("""COMPUTED_VALUE"""),"SETASC-PRO-2023/03755")</f>
        <v>SETASC-PRO-2023/03755</v>
      </c>
      <c r="D88" s="1" t="str">
        <f>IFERROR(__xludf.DUMMYFUNCTION("""COMPUTED_VALUE"""),"CS BRASIL FROTAS S.A.")</f>
        <v>CS BRASIL FROTAS S.A.</v>
      </c>
      <c r="E88" s="1" t="str">
        <f>IFERROR(__xludf.DUMMYFUNCTION("""COMPUTED_VALUE""")," contratação de empresa especializada na prestação de Serviços de Locação de Veículos Administrativos, categorias diversas (sem motorista e sem combustível), devidamente licenciados junto ao DETRAN, com quilometragem livre, incluindo seguro, monitoramento"&amp;" por sistema GPS/GSM/GPRS, manutenção veicular, insulfim e adesivagem para atender as demandas da Secretaria de Estado de Assistência Social e Cidadania- SETASC e suas unidades descentralizadas, que deriva da Adesão Participe à Ata de Registro de Preços n"&amp;"º 005/2023/SEPLAG, decorrente do Pregão Eletrônico nº 003/2023/SEPLAG")</f>
        <v> contratação de empresa especializada na prestação de Serviços de Locação de Veículos Administrativos, categorias diversas (sem motorista e sem combustível), devidamente licenciados junto ao DETRAN, com quilometragem livre, incluindo seguro, monitoramento por sistema GPS/GSM/GPRS, manutenção veicular, insulfim e adesivagem para atender as demandas da Secretaria de Estado de Assistência Social e Cidadania- SETASC e suas unidades descentralizadas, que deriva da Adesão Participe à Ata de Registro de Preços nº 005/2023/SEPLAG, decorrente do Pregão Eletrônico nº 003/2023/SEPLAG</v>
      </c>
      <c r="F88" s="1" t="str">
        <f>IFERROR(__xludf.DUMMYFUNCTION("""COMPUTED_VALUE"""),"22/05/2023 a 14/12/2025 (NÃO VAI PRORROGAR)")</f>
        <v>22/05/2023 a 14/12/2025 (NÃO VAI PRORROGAR)</v>
      </c>
      <c r="G88" s="1">
        <f>IFERROR(__xludf.DUMMYFUNCTION("""COMPUTED_VALUE"""),39.0)</f>
        <v>39</v>
      </c>
      <c r="H88" s="5">
        <f>IFERROR(__xludf.DUMMYFUNCTION("""COMPUTED_VALUE"""),2348685.84)</f>
        <v>2348685.84</v>
      </c>
      <c r="I88" s="5" t="str">
        <f>IFERROR(__xludf.DUMMYFUNCTION("""COMPUTED_VALUE"""),"CONTINUO ")</f>
        <v>CONTINUO </v>
      </c>
      <c r="J88" s="1" t="str">
        <f>IFERROR(__xludf.DUMMYFUNCTION("""COMPUTED_VALUE"""),"NÃO ")</f>
        <v>NÃO </v>
      </c>
      <c r="K88" s="5">
        <f>IFERROR(__xludf.DUMMYFUNCTION("""COMPUTED_VALUE"""),89786.42000000039)</f>
        <v>89786.42</v>
      </c>
      <c r="L88" s="1" t="str">
        <f>IFERROR(__xludf.DUMMYFUNCTION("""COMPUTED_VALUE"""),"ANSELMO TOLENTINO SOARES JUNIOR E PAULO ROBERTO TEIXEIRA")</f>
        <v>ANSELMO TOLENTINO SOARES JUNIOR E PAULO ROBERTO TEIXEIRA</v>
      </c>
      <c r="M88" s="1" t="str">
        <f>IFERROR(__xludf.DUMMYFUNCTION("""COMPUTED_VALUE"""),"SAADS")</f>
        <v>SAADS</v>
      </c>
      <c r="N88" s="1"/>
      <c r="O88" s="1"/>
    </row>
    <row r="89">
      <c r="A89" s="1">
        <f>IFERROR(__xludf.DUMMYFUNCTION("""COMPUTED_VALUE"""),88.0)</f>
        <v>88</v>
      </c>
      <c r="B89" s="1" t="str">
        <f>IFERROR(__xludf.DUMMYFUNCTION("""COMPUTED_VALUE"""),"028/2023")</f>
        <v>028/2023</v>
      </c>
      <c r="C89" s="1" t="str">
        <f>IFERROR(__xludf.DUMMYFUNCTION("""COMPUTED_VALUE"""),"SETASC-PRO-2023/02984")</f>
        <v>SETASC-PRO-2023/02984</v>
      </c>
      <c r="D89" s="1" t="str">
        <f>IFERROR(__xludf.DUMMYFUNCTION("""COMPUTED_VALUE"""),"TIM S.A.")</f>
        <v>TIM S.A.</v>
      </c>
      <c r="E89" s="1" t="str">
        <f>IFERROR(__xludf.DUMMYFUNCTION("""COMPUTED_VALUE"""),"Contratação de empresa especializada em telecomunicações,  que possuam outorga da ANATEL -Agência Nacional de Telecomunicações, para prestação de serviços de Telefonia Móvel Pessoal(SMP -Serviço Móvel Pessoal), na modalidade Local, Serviço Telefônico Comu"&amp;"tado de Longa Distância Nacional -LDN e Longa Distância Internacional - LDI, 
originários de terminais móveis e conexão remota, com fornecimento de aparelhos digitais e mini modems portáteis em regime de comodato, para atender as demandas da Secretaria de"&amp;" Estado de Assistência Social e Cidadania-SETASC e suas unidades descentralizadas, que deriva da Adesão Participe à Ata de Registro de Preços nº 004/2023/SEPLAG, decorrente do Pregão Eletrônico nº 014/2022/SEPLAG, em conformidade com o Termo de Referência"&amp;" apresentado e demais anexos, independente de transcrição")</f>
        <v>Contratação de empresa especializada em telecomunicações,  que possuam outorga da ANATEL -Agência Nacional de Telecomunicações, para prestação de serviços de Telefonia Móvel Pessoal(SMP -Serviço Móvel Pessoal), na modalidade Local, Serviço Telefônico Comutado de Longa Distância Nacional -LDN e Longa Distância Internacional - LDI, 
originários de terminais móveis e conexão remota, com fornecimento de aparelhos digitais e mini modems portáteis em regime de comodato, para atender as demandas da Secretaria de Estado de Assistência Social e Cidadania-SETASC e suas unidades descentralizadas, que deriva da Adesão Participe à Ata de Registro de Preços nº 004/2023/SEPLAG, decorrente do Pregão Eletrônico nº 014/2022/SEPLAG, em conformidade com o Termo de Referência apresentado e demais anexos, independente de transcrição</v>
      </c>
      <c r="F89" s="1" t="str">
        <f>IFERROR(__xludf.DUMMYFUNCTION("""COMPUTED_VALUE"""),"19/05/2023 A 18/11/2025 (ADITIVO EM ANDAMENTO)")</f>
        <v>19/05/2023 A 18/11/2025 (ADITIVO EM ANDAMENTO)</v>
      </c>
      <c r="G89" s="1">
        <f>IFERROR(__xludf.DUMMYFUNCTION("""COMPUTED_VALUE"""),39.0)</f>
        <v>39</v>
      </c>
      <c r="H89" s="5">
        <f>IFERROR(__xludf.DUMMYFUNCTION("""COMPUTED_VALUE"""),488471.1)</f>
        <v>488471.1</v>
      </c>
      <c r="I89" s="5" t="str">
        <f>IFERROR(__xludf.DUMMYFUNCTION("""COMPUTED_VALUE"""),"CONTINUO")</f>
        <v>CONTINUO</v>
      </c>
      <c r="J89" s="1" t="str">
        <f>IFERROR(__xludf.DUMMYFUNCTION("""COMPUTED_VALUE"""),"NÃO")</f>
        <v>NÃO</v>
      </c>
      <c r="K89" s="5">
        <f>IFERROR(__xludf.DUMMYFUNCTION("""COMPUTED_VALUE"""),39462.320000000065)</f>
        <v>39462.32</v>
      </c>
      <c r="L89" s="1" t="str">
        <f>IFERROR(__xludf.DUMMYFUNCTION("""COMPUTED_VALUE"""),"UMBERTO NAPOLITANO")</f>
        <v>UMBERTO NAPOLITANO</v>
      </c>
      <c r="M89" s="1" t="str">
        <f>IFERROR(__xludf.DUMMYFUNCTION("""COMPUTED_VALUE"""),"SAADS")</f>
        <v>SAADS</v>
      </c>
      <c r="N89" s="1"/>
      <c r="O89" s="1"/>
    </row>
    <row r="90">
      <c r="A90" s="1">
        <f>IFERROR(__xludf.DUMMYFUNCTION("""COMPUTED_VALUE"""),89.0)</f>
        <v>89</v>
      </c>
      <c r="B90" s="1" t="str">
        <f>IFERROR(__xludf.DUMMYFUNCTION("""COMPUTED_VALUE"""),"022/2023")</f>
        <v>022/2023</v>
      </c>
      <c r="C90" s="1" t="str">
        <f>IFERROR(__xludf.DUMMYFUNCTION("""COMPUTED_VALUE"""),"SETASC-PRO-2023/01577")</f>
        <v>SETASC-PRO-2023/01577</v>
      </c>
      <c r="D90" s="1" t="str">
        <f>IFERROR(__xludf.DUMMYFUNCTION("""COMPUTED_VALUE"""),"COSTA OESTE SERVIÇOS LTDA.")</f>
        <v>COSTA OESTE SERVIÇOS LTDA.</v>
      </c>
      <c r="E90" s="1" t="str">
        <f>IFERROR(__xludf.DUMMYFUNCTION("""COMPUTED_VALUE"""),"O objeto do presente instrumento refere-se à contratação de empresa especializada na prestação de serviço continuado de limpeza, asseio, conservação, com fornecimento de mão de obra e insumos diversos necessários à execução dos serviços, compreendendo as "&amp;"áreas internas e externas para atender a Secretaria de Estado de Assistência Social e Cidadania- Setasc e suas unidades descentralizadas, que deriva da Adesão à Ata de Registro de Preços nº. 010/2022/SEPLAG, decorrente do Pregão Eletrônico nº 018/2021/SEP"&amp;"LAG, em conformidade com o Termo de Referência apresentado e demais anexos, independente de transcrição.")</f>
        <v>O objeto do presente instrumento refere-se à contratação de empresa especializada na prestação de serviço continuado de limpeza, asseio, conservação, com fornecimento de mão de obra e insumos diversos necessários à execução dos serviços, compreendendo as áreas internas e externas para atender a Secretaria de Estado de Assistência Social e Cidadania- Setasc e suas unidades descentralizadas, que deriva da Adesão à Ata de Registro de Preços nº. 010/2022/SEPLAG, decorrente do Pregão Eletrônico nº 018/2021/SEPLAG, em conformidade com o Termo de Referência apresentado e demais anexos, independente de transcrição.</v>
      </c>
      <c r="F90" s="1" t="str">
        <f>IFERROR(__xludf.DUMMYFUNCTION("""COMPUTED_VALUE"""),"12/04/2023 a 11/04/2026")</f>
        <v>12/04/2023 a 11/04/2026</v>
      </c>
      <c r="G90" s="1">
        <f>IFERROR(__xludf.DUMMYFUNCTION("""COMPUTED_VALUE"""),37.0)</f>
        <v>37</v>
      </c>
      <c r="H90" s="5" t="str">
        <f>IFERROR(__xludf.DUMMYFUNCTION("""COMPUTED_VALUE"""),"R$ 1.501.310,40")</f>
        <v>R$ 1.501.310,40</v>
      </c>
      <c r="I90" s="5" t="str">
        <f>IFERROR(__xludf.DUMMYFUNCTION("""COMPUTED_VALUE"""),"CONTINUO")</f>
        <v>CONTINUO</v>
      </c>
      <c r="J90" s="1" t="str">
        <f>IFERROR(__xludf.DUMMYFUNCTION("""COMPUTED_VALUE"""),"NÃO ")</f>
        <v>NÃO </v>
      </c>
      <c r="K90" s="5">
        <f>IFERROR(__xludf.DUMMYFUNCTION("""COMPUTED_VALUE"""),1437226.25)</f>
        <v>1437226.25</v>
      </c>
      <c r="L90" s="1" t="str">
        <f>IFERROR(__xludf.DUMMYFUNCTION("""COMPUTED_VALUE"""),"VANDERLEI TOMAS")</f>
        <v>VANDERLEI TOMAS</v>
      </c>
      <c r="M90" s="1" t="str">
        <f>IFERROR(__xludf.DUMMYFUNCTION("""COMPUTED_VALUE"""),"SAADS")</f>
        <v>SAADS</v>
      </c>
      <c r="N90" s="1"/>
      <c r="O90" s="1"/>
    </row>
    <row r="91">
      <c r="A91" s="1">
        <f>IFERROR(__xludf.DUMMYFUNCTION("""COMPUTED_VALUE"""),90.0)</f>
        <v>90</v>
      </c>
      <c r="B91" s="1" t="str">
        <f>IFERROR(__xludf.DUMMYFUNCTION("""COMPUTED_VALUE"""),"023/2023")</f>
        <v>023/2023</v>
      </c>
      <c r="C91" s="1" t="str">
        <f>IFERROR(__xludf.DUMMYFUNCTION("""COMPUTED_VALUE"""),"SETASC-PRO-2023/02390")</f>
        <v>SETASC-PRO-2023/02390</v>
      </c>
      <c r="D91" s="1" t="str">
        <f>IFERROR(__xludf.DUMMYFUNCTION("""COMPUTED_VALUE"""),"LE CARD ADMINISTRADORA DE CARTÕES LTDA.")</f>
        <v>LE CARD ADMINISTRADORA DE CARTÕES LTDA.</v>
      </c>
      <c r="E91" s="1" t="str">
        <f>IFERROR(__xludf.DUMMYFUNCTION("""COMPUTED_VALUE"""),"Contratação de empresa especializada na prestação de serviços de implantação, gerenciamento e administração de cartões destinados a transferência de renda para atendimento ao Programa SER Família.")</f>
        <v>Contratação de empresa especializada na prestação de serviços de implantação, gerenciamento e administração de cartões destinados a transferência de renda para atendimento ao Programa SER Família.</v>
      </c>
      <c r="F91" s="1" t="str">
        <f>IFERROR(__xludf.DUMMYFUNCTION("""COMPUTED_VALUE"""),"06/04/2023 a 05/04/2027")</f>
        <v>06/04/2023 a 05/04/2027</v>
      </c>
      <c r="G91" s="1">
        <f>IFERROR(__xludf.DUMMYFUNCTION("""COMPUTED_VALUE"""),48.0)</f>
        <v>48</v>
      </c>
      <c r="H91" s="5">
        <f>IFERROR(__xludf.DUMMYFUNCTION("""COMPUTED_VALUE"""),2.240732628E8)</f>
        <v>224073262.8</v>
      </c>
      <c r="I91" s="5" t="str">
        <f>IFERROR(__xludf.DUMMYFUNCTION("""COMPUTED_VALUE"""),"DEMANDA ")</f>
        <v>DEMANDA </v>
      </c>
      <c r="J91" s="1" t="str">
        <f>IFERROR(__xludf.DUMMYFUNCTION("""COMPUTED_VALUE"""),"SIM")</f>
        <v>SIM</v>
      </c>
      <c r="K91" s="5">
        <f>IFERROR(__xludf.DUMMYFUNCTION("""COMPUTED_VALUE"""),4977927.810000002)</f>
        <v>4977927.81</v>
      </c>
      <c r="L91" s="1" t="str">
        <f>IFERROR(__xludf.DUMMYFUNCTION("""COMPUTED_VALUE"""),"ANDRETOTTE NORBIM LANES")</f>
        <v>ANDRETOTTE NORBIM LANES</v>
      </c>
      <c r="M91" s="1" t="str">
        <f>IFERROR(__xludf.DUMMYFUNCTION("""COMPUTED_VALUE"""),"SAPPEAF")</f>
        <v>SAPPEAF</v>
      </c>
      <c r="N91" s="1"/>
      <c r="O91" s="1"/>
    </row>
    <row r="92">
      <c r="A92" s="1">
        <f>IFERROR(__xludf.DUMMYFUNCTION("""COMPUTED_VALUE"""),91.0)</f>
        <v>91</v>
      </c>
      <c r="B92" s="1" t="str">
        <f>IFERROR(__xludf.DUMMYFUNCTION("""COMPUTED_VALUE"""),"083/2022")</f>
        <v>083/2022</v>
      </c>
      <c r="C92" s="1" t="str">
        <f>IFERROR(__xludf.DUMMYFUNCTION("""COMPUTED_VALUE"""),"SETASC-PRO-2022/07400")</f>
        <v>SETASC-PRO-2022/07400</v>
      </c>
      <c r="D92" s="1" t="str">
        <f>IFERROR(__xludf.DUMMYFUNCTION("""COMPUTED_VALUE"""),"DDMIX TERCEIRIZAÇÃO EIRELI")</f>
        <v>DDMIX TERCEIRIZAÇÃO EIRELI</v>
      </c>
      <c r="E92" s="1" t="str">
        <f>IFERROR(__xludf.DUMMYFUNCTION("""COMPUTED_VALUE"""),"Contratação de empresa especializada em prestação de serviços contínuos de terceirização de mão de obra de Motorista (carteiras B e D) para atender a demanda da Secretaria de Estado de Assistência Social e Cidadania - SETASC.")</f>
        <v>Contratação de empresa especializada em prestação de serviços contínuos de terceirização de mão de obra de Motorista (carteiras B e D) para atender a demanda da Secretaria de Estado de Assistência Social e Cidadania - SETASC.</v>
      </c>
      <c r="F92" s="1" t="str">
        <f>IFERROR(__xludf.DUMMYFUNCTION("""COMPUTED_VALUE"""),"16/11/2022 a 15/11/2026")</f>
        <v>16/11/2022 a 15/11/2026</v>
      </c>
      <c r="G92" s="1">
        <f>IFERROR(__xludf.DUMMYFUNCTION("""COMPUTED_VALUE"""),37.0)</f>
        <v>37</v>
      </c>
      <c r="H92" s="5">
        <f>IFERROR(__xludf.DUMMYFUNCTION("""COMPUTED_VALUE"""),3478875.12)</f>
        <v>3478875.12</v>
      </c>
      <c r="I92" s="5" t="str">
        <f>IFERROR(__xludf.DUMMYFUNCTION("""COMPUTED_VALUE"""),"CONTINUO ")</f>
        <v>CONTINUO </v>
      </c>
      <c r="J92" s="1" t="str">
        <f>IFERROR(__xludf.DUMMYFUNCTION("""COMPUTED_VALUE"""),"NÃO ")</f>
        <v>NÃO </v>
      </c>
      <c r="K92" s="5">
        <f>IFERROR(__xludf.DUMMYFUNCTION("""COMPUTED_VALUE"""),2172258.1100000003)</f>
        <v>2172258.11</v>
      </c>
      <c r="L92" s="1" t="str">
        <f>IFERROR(__xludf.DUMMYFUNCTION("""COMPUTED_VALUE"""),"HANDERSON GABRIEL DA COSTA OLIVEIRA")</f>
        <v>HANDERSON GABRIEL DA COSTA OLIVEIRA</v>
      </c>
      <c r="M92" s="1" t="str">
        <f>IFERROR(__xludf.DUMMYFUNCTION("""COMPUTED_VALUE"""),"SAADS")</f>
        <v>SAADS</v>
      </c>
      <c r="N92" s="1"/>
      <c r="O92" s="1"/>
    </row>
    <row r="93">
      <c r="A93" s="1">
        <f>IFERROR(__xludf.DUMMYFUNCTION("""COMPUTED_VALUE"""),92.0)</f>
        <v>92</v>
      </c>
      <c r="B93" s="1" t="str">
        <f>IFERROR(__xludf.DUMMYFUNCTION("""COMPUTED_VALUE"""),"077/2022")</f>
        <v>077/2022</v>
      </c>
      <c r="C93" s="1" t="str">
        <f>IFERROR(__xludf.DUMMYFUNCTION("""COMPUTED_VALUE"""),"SETASC-PRO-2022/04594")</f>
        <v>SETASC-PRO-2022/04594</v>
      </c>
      <c r="D93" s="1" t="str">
        <f>IFERROR(__xludf.DUMMYFUNCTION("""COMPUTED_VALUE"""),"INFORTOUCH AGÊNCIA DE COMUNICAÇÃO, EVENTOS E PRODUTOS ALIMENTÍCIOS EIRELI EPP")</f>
        <v>INFORTOUCH AGÊNCIA DE COMUNICAÇÃO, EVENTOS E PRODUTOS ALIMENTÍCIOS EIRELI EPP</v>
      </c>
      <c r="E93" s="1" t="str">
        <f>IFERROR(__xludf.DUMMYFUNCTION("""COMPUTED_VALUE"""),"prestação de serviços de apoio logístico e fornecimento de materiais para eventos, atos e solenidades, para atender os Órgãos/Entidades do Poder Executivo de Mato Grosso")</f>
        <v>prestação de serviços de apoio logístico e fornecimento de materiais para eventos, atos e solenidades, para atender os Órgãos/Entidades do Poder Executivo de Mato Grosso</v>
      </c>
      <c r="F93" s="1" t="str">
        <f>IFERROR(__xludf.DUMMYFUNCTION("""COMPUTED_VALUE"""),"25/10/2023 a 24/10/2026")</f>
        <v>25/10/2023 a 24/10/2026</v>
      </c>
      <c r="G93" s="1">
        <f>IFERROR(__xludf.DUMMYFUNCTION("""COMPUTED_VALUE"""),39.0)</f>
        <v>39</v>
      </c>
      <c r="H93" s="5">
        <f>IFERROR(__xludf.DUMMYFUNCTION("""COMPUTED_VALUE"""),1112129.1)</f>
        <v>1112129.1</v>
      </c>
      <c r="I93" s="5" t="str">
        <f>IFERROR(__xludf.DUMMYFUNCTION("""COMPUTED_VALUE"""),"DEMANDA")</f>
        <v>DEMANDA</v>
      </c>
      <c r="J93" s="1" t="str">
        <f>IFERROR(__xludf.DUMMYFUNCTION("""COMPUTED_VALUE"""),"NÃO")</f>
        <v>NÃO</v>
      </c>
      <c r="K93" s="5">
        <f>IFERROR(__xludf.DUMMYFUNCTION("""COMPUTED_VALUE"""),0.0)</f>
        <v>0</v>
      </c>
      <c r="L93" s="1" t="str">
        <f>IFERROR(__xludf.DUMMYFUNCTION("""COMPUTED_VALUE"""),"RODRIGO PRIETO")</f>
        <v>RODRIGO PRIETO</v>
      </c>
      <c r="M93" s="1" t="str">
        <f>IFERROR(__xludf.DUMMYFUNCTION("""COMPUTED_VALUE"""),"SAADS")</f>
        <v>SAADS</v>
      </c>
      <c r="N93" s="1"/>
      <c r="O93" s="1"/>
    </row>
    <row r="94">
      <c r="A94" s="1">
        <f>IFERROR(__xludf.DUMMYFUNCTION("""COMPUTED_VALUE"""),93.0)</f>
        <v>93</v>
      </c>
      <c r="B94" s="1" t="str">
        <f>IFERROR(__xludf.DUMMYFUNCTION("""COMPUTED_VALUE"""),"072/2022")</f>
        <v>072/2022</v>
      </c>
      <c r="C94" s="1" t="str">
        <f>IFERROR(__xludf.DUMMYFUNCTION("""COMPUTED_VALUE"""),"SETASC-PRO-2022/04196")</f>
        <v>SETASC-PRO-2022/04196</v>
      </c>
      <c r="D94" s="1" t="str">
        <f>IFERROR(__xludf.DUMMYFUNCTION("""COMPUTED_VALUE"""),"SERVIÇO NACIONAL DE APRENDIZAGEM INDUSTRIAL – SENAI/MT.")</f>
        <v>SERVIÇO NACIONAL DE APRENDIZAGEM INDUSTRIAL – SENAI/MT.</v>
      </c>
      <c r="E94" s="1" t="str">
        <f>IFERROR(__xludf.DUMMYFUNCTION("""COMPUTED_VALUE"""),"Contratação de empresa especializada para ministrar cursos de qualificação profissional e social atendendo aos requisitos do Projeto “Capacita Mato Grosso”.")</f>
        <v>Contratação de empresa especializada para ministrar cursos de qualificação profissional e social atendendo aos requisitos do Projeto “Capacita Mato Grosso”.</v>
      </c>
      <c r="F94" s="1" t="str">
        <f>IFERROR(__xludf.DUMMYFUNCTION("""COMPUTED_VALUE"""),"07/10/2022 a 06/10/2026")</f>
        <v>07/10/2022 a 06/10/2026</v>
      </c>
      <c r="G94" s="1">
        <f>IFERROR(__xludf.DUMMYFUNCTION("""COMPUTED_VALUE"""),39.0)</f>
        <v>39</v>
      </c>
      <c r="H94" s="5">
        <f>IFERROR(__xludf.DUMMYFUNCTION("""COMPUTED_VALUE"""),7.06423536E7)</f>
        <v>70642353.6</v>
      </c>
      <c r="I94" s="5" t="str">
        <f>IFERROR(__xludf.DUMMYFUNCTION("""COMPUTED_VALUE"""),"DEMANDA")</f>
        <v>DEMANDA</v>
      </c>
      <c r="J94" s="1" t="str">
        <f>IFERROR(__xludf.DUMMYFUNCTION("""COMPUTED_VALUE"""),"NÃO")</f>
        <v>NÃO</v>
      </c>
      <c r="K94" s="5">
        <f>IFERROR(__xludf.DUMMYFUNCTION("""COMPUTED_VALUE"""),3.4541571800000004E7)</f>
        <v>34541571.8</v>
      </c>
      <c r="L94" s="1" t="str">
        <f>IFERROR(__xludf.DUMMYFUNCTION("""COMPUTED_VALUE"""),"CARLOS EDUARDO DE MEDEIROS BRAGUINI")</f>
        <v>CARLOS EDUARDO DE MEDEIROS BRAGUINI</v>
      </c>
      <c r="M94" s="1" t="str">
        <f>IFERROR(__xludf.DUMMYFUNCTION("""COMPUTED_VALUE"""),"SACIS")</f>
        <v>SACIS</v>
      </c>
      <c r="N94" s="1"/>
      <c r="O94" s="1"/>
    </row>
    <row r="95">
      <c r="A95" s="1">
        <f>IFERROR(__xludf.DUMMYFUNCTION("""COMPUTED_VALUE"""),94.0)</f>
        <v>94</v>
      </c>
      <c r="B95" s="1" t="str">
        <f>IFERROR(__xludf.DUMMYFUNCTION("""COMPUTED_VALUE"""),"071/2022")</f>
        <v>071/2022</v>
      </c>
      <c r="C95" s="1" t="str">
        <f>IFERROR(__xludf.DUMMYFUNCTION("""COMPUTED_VALUE"""),"SETASC-PRO-2022/05691")</f>
        <v>SETASC-PRO-2022/05691</v>
      </c>
      <c r="D95" s="1" t="str">
        <f>IFERROR(__xludf.DUMMYFUNCTION("""COMPUTED_VALUE"""),"LINCE SEGURANÇA PATRIMONIAL LTDA")</f>
        <v>LINCE SEGURANÇA PATRIMONIAL LTDA</v>
      </c>
      <c r="E95" s="1" t="str">
        <f>IFERROR(__xludf.DUMMYFUNCTION("""COMPUTED_VALUE"""),"O objeto do presente instrumento refere-se à contratação de empresa especializada na prestação de serviços de Vigilância Armada e Desarmada para atender a Secretaria de Estado de Assistência Social e Cidadania – SETASC, e suas unidades descentralizadas, c"&amp;"onforme especificações e condições técnicas constantes no Edital  e em seus anexos, que deriva da Adesão à Ata de Registro de Preços nº 011/2022/SEPLAG, decorrente do Pregão Eletrônico nº 019/2021/SEPLAG, em conformidade com o Termo de Referência apresent"&amp;"ado e demais anexos, independente de transcrição.")</f>
        <v>O objeto do presente instrumento refere-se à contratação de empresa especializada na prestação de serviços de Vigilância Armada e Desarmada para atender a Secretaria de Estado de Assistência Social e Cidadania – SETASC, e suas unidades descentralizadas, conforme especificações e condições técnicas constantes no Edital  e em seus anexos, que deriva da Adesão à Ata de Registro de Preços nº 011/2022/SEPLAG, decorrente do Pregão Eletrônico nº 019/2021/SEPLAG, em conformidade com o Termo de Referência apresentado e demais anexos, independente de transcrição.</v>
      </c>
      <c r="F95" s="1" t="str">
        <f>IFERROR(__xludf.DUMMYFUNCTION("""COMPUTED_VALUE"""),"20/10/2022 a 19/10/2025 (NÃO VAI PRORROGAR)")</f>
        <v>20/10/2022 a 19/10/2025 (NÃO VAI PRORROGAR)</v>
      </c>
      <c r="G95" s="1">
        <f>IFERROR(__xludf.DUMMYFUNCTION("""COMPUTED_VALUE"""),37.0)</f>
        <v>37</v>
      </c>
      <c r="H95" s="5">
        <f>IFERROR(__xludf.DUMMYFUNCTION("""COMPUTED_VALUE"""),2207616.0)</f>
        <v>2207616</v>
      </c>
      <c r="I95" s="5" t="str">
        <f>IFERROR(__xludf.DUMMYFUNCTION("""COMPUTED_VALUE"""),"CONTINUO ")</f>
        <v>CONTINUO </v>
      </c>
      <c r="J95" s="1" t="str">
        <f>IFERROR(__xludf.DUMMYFUNCTION("""COMPUTED_VALUE"""),"NÃO ")</f>
        <v>NÃO </v>
      </c>
      <c r="K95" s="5">
        <f>IFERROR(__xludf.DUMMYFUNCTION("""COMPUTED_VALUE"""),318204.46999999974)</f>
        <v>318204.47</v>
      </c>
      <c r="L95" s="1" t="str">
        <f>IFERROR(__xludf.DUMMYFUNCTION("""COMPUTED_VALUE"""),"WILLIAN LOPES DE AGUIAR")</f>
        <v>WILLIAN LOPES DE AGUIAR</v>
      </c>
      <c r="M95" s="1" t="str">
        <f>IFERROR(__xludf.DUMMYFUNCTION("""COMPUTED_VALUE"""),"SAADS")</f>
        <v>SAADS</v>
      </c>
      <c r="N95" s="1"/>
      <c r="O95" s="1"/>
    </row>
    <row r="96">
      <c r="A96" s="1">
        <f>IFERROR(__xludf.DUMMYFUNCTION("""COMPUTED_VALUE"""),95.0)</f>
        <v>95</v>
      </c>
      <c r="B96" s="1" t="str">
        <f>IFERROR(__xludf.DUMMYFUNCTION("""COMPUTED_VALUE"""),"070/2022")</f>
        <v>070/2022</v>
      </c>
      <c r="C96" s="1" t="str">
        <f>IFERROR(__xludf.DUMMYFUNCTION("""COMPUTED_VALUE"""),"SETASC-PRO-2022/05372")</f>
        <v>SETASC-PRO-2022/05372</v>
      </c>
      <c r="D96" s="1" t="str">
        <f>IFERROR(__xludf.DUMMYFUNCTION("""COMPUTED_VALUE"""),"GR8 INFORMÁTICA E TECNOLOGIA LTDA.")</f>
        <v>GR8 INFORMÁTICA E TECNOLOGIA LTDA.</v>
      </c>
      <c r="E96" s="1" t="str">
        <f>IFERROR(__xludf.DUMMYFUNCTION("""COMPUTED_VALUE"""),"O objeto do presente Contrato consiste na contratação de licença anual de uso temporário de software SaaS de gestão educacional para Gestão do Programa SER Criança para atendimento à Lei Estadual nº 11.445 de 02 de julho de 2021, por intermédio da SETASC,"&amp;" conforme especificações constantes na proposta e respectivo Termo de Referência.")</f>
        <v>O objeto do presente Contrato consiste na contratação de licença anual de uso temporário de software SaaS de gestão educacional para Gestão do Programa SER Criança para atendimento à Lei Estadual nº 11.445 de 02 de julho de 2021, por intermédio da SETASC, conforme especificações constantes na proposta e respectivo Termo de Referência.</v>
      </c>
      <c r="F96" s="1" t="str">
        <f>IFERROR(__xludf.DUMMYFUNCTION("""COMPUTED_VALUE"""),"08/09/2022 a 07/09/2026")</f>
        <v>08/09/2022 a 07/09/2026</v>
      </c>
      <c r="G96" s="1">
        <f>IFERROR(__xludf.DUMMYFUNCTION("""COMPUTED_VALUE"""),40.0)</f>
        <v>40</v>
      </c>
      <c r="H96" s="5">
        <f>IFERROR(__xludf.DUMMYFUNCTION("""COMPUTED_VALUE"""),29760.0)</f>
        <v>29760</v>
      </c>
      <c r="I96" s="5" t="str">
        <f>IFERROR(__xludf.DUMMYFUNCTION("""COMPUTED_VALUE"""),"CONTÍNUO ")</f>
        <v>CONTÍNUO </v>
      </c>
      <c r="J96" s="1" t="str">
        <f>IFERROR(__xludf.DUMMYFUNCTION("""COMPUTED_VALUE"""),"NÃO ")</f>
        <v>NÃO </v>
      </c>
      <c r="K96" s="5">
        <f>IFERROR(__xludf.DUMMYFUNCTION("""COMPUTED_VALUE"""),0.0)</f>
        <v>0</v>
      </c>
      <c r="L96" s="1" t="str">
        <f>IFERROR(__xludf.DUMMYFUNCTION("""COMPUTED_VALUE"""),"BRUNA COUTO MOREIRA")</f>
        <v>BRUNA COUTO MOREIRA</v>
      </c>
      <c r="M96" s="1" t="str">
        <f>IFERROR(__xludf.DUMMYFUNCTION("""COMPUTED_VALUE"""),"SAPPEAF")</f>
        <v>SAPPEAF</v>
      </c>
      <c r="N96" s="1"/>
      <c r="O96" s="1"/>
    </row>
    <row r="97">
      <c r="A97" s="1">
        <f>IFERROR(__xludf.DUMMYFUNCTION("""COMPUTED_VALUE"""),96.0)</f>
        <v>96</v>
      </c>
      <c r="B97" s="1" t="str">
        <f>IFERROR(__xludf.DUMMYFUNCTION("""COMPUTED_VALUE"""),"069/2022")</f>
        <v>069/2022</v>
      </c>
      <c r="C97" s="1" t="str">
        <f>IFERROR(__xludf.DUMMYFUNCTION("""COMPUTED_VALUE"""),"SETASC-PRO-2022/04648")</f>
        <v>SETASC-PRO-2022/04648</v>
      </c>
      <c r="D97" s="1" t="str">
        <f>IFERROR(__xludf.DUMMYFUNCTION("""COMPUTED_VALUE"""),"TMF CONSTRUTORA E SERVIÇOS EIRELI - EPP")</f>
        <v>TMF CONSTRUTORA E SERVIÇOS EIRELI - EPP</v>
      </c>
      <c r="E97" s="1" t="str">
        <f>IFERROR(__xludf.DUMMYFUNCTION("""COMPUTED_VALUE"""),"O presente Contrato tem por objeto “a contratação de empresa capacitada, que sob demanda, prestará serviços comuns de engenharia com fornecimento de peças, equipamentos, materiais e mão de obra, com percentual desconto a ser aplicado na forma estabelecida"&amp;" em planilhas de serviços e insumos, constantes na tabela do Sistema Nacional de Pesquisa de Custos e Índices da Construção Civil, doravante denominada TABELA SINAPI (sem desoneração) vigentes, estabelecida para o Estado de Mato Grosso, para atender a CON"&amp;"TRATANTE, acrescido do BDI”, conforme as especificações constantes neste contrato.")</f>
        <v>O presente Contrato tem por objeto “a contratação de empresa capacitada, que sob demanda, prestará serviços comuns de engenharia com fornecimento de peças, equipamentos, materiais e mão de obra, com percentual desconto a ser aplicado na forma estabelecida em planilhas de serviços e insumos, constantes na tabela do Sistema Nacional de Pesquisa de Custos e Índices da Construção Civil, doravante denominada TABELA SINAPI (sem desoneração) vigentes, estabelecida para o Estado de Mato Grosso, para atender a CONTRATANTE, acrescido do BDI”, conforme as especificações constantes neste contrato.</v>
      </c>
      <c r="F97" s="1" t="str">
        <f>IFERROR(__xludf.DUMMYFUNCTION("""COMPUTED_VALUE"""),"28/11/2022 a 27/11/2025 (NÃO VAI PRORROGAR)")</f>
        <v>28/11/2022 a 27/11/2025 (NÃO VAI PRORROGAR)</v>
      </c>
      <c r="G97" s="1">
        <f>IFERROR(__xludf.DUMMYFUNCTION("""COMPUTED_VALUE"""),51.0)</f>
        <v>51</v>
      </c>
      <c r="H97" s="5">
        <f>IFERROR(__xludf.DUMMYFUNCTION("""COMPUTED_VALUE"""),9986488.46)</f>
        <v>9986488.46</v>
      </c>
      <c r="I97" s="5" t="str">
        <f>IFERROR(__xludf.DUMMYFUNCTION("""COMPUTED_VALUE"""),"DEMANDA")</f>
        <v>DEMANDA</v>
      </c>
      <c r="J97" s="1" t="str">
        <f>IFERROR(__xludf.DUMMYFUNCTION("""COMPUTED_VALUE"""),"NÃO ")</f>
        <v>NÃO </v>
      </c>
      <c r="K97" s="5">
        <f>IFERROR(__xludf.DUMMYFUNCTION("""COMPUTED_VALUE"""),434242.2100000009)</f>
        <v>434242.21</v>
      </c>
      <c r="L97" s="1" t="str">
        <f>IFERROR(__xludf.DUMMYFUNCTION("""COMPUTED_VALUE"""),"THIAGO RONCHI ADRIEN EUGENIO")</f>
        <v>THIAGO RONCHI ADRIEN EUGENIO</v>
      </c>
      <c r="M97" s="1" t="str">
        <f>IFERROR(__xludf.DUMMYFUNCTION("""COMPUTED_VALUE"""),"SAADS")</f>
        <v>SAADS</v>
      </c>
      <c r="N97" s="1"/>
      <c r="O97" s="1"/>
    </row>
    <row r="98">
      <c r="A98" s="1">
        <f>IFERROR(__xludf.DUMMYFUNCTION("""COMPUTED_VALUE"""),97.0)</f>
        <v>97</v>
      </c>
      <c r="B98" s="1" t="str">
        <f>IFERROR(__xludf.DUMMYFUNCTION("""COMPUTED_VALUE"""),"067/2022")</f>
        <v>067/2022</v>
      </c>
      <c r="C98" s="1" t="str">
        <f>IFERROR(__xludf.DUMMYFUNCTION("""COMPUTED_VALUE"""),"SETASC-PRO-2022/04968")</f>
        <v>SETASC-PRO-2022/04968</v>
      </c>
      <c r="D98" s="1" t="str">
        <f>IFERROR(__xludf.DUMMYFUNCTION("""COMPUTED_VALUE"""),"LUA SERVIÇOS EIRELI.")</f>
        <v>LUA SERVIÇOS EIRELI.</v>
      </c>
      <c r="E98" s="1" t="str">
        <f>IFERROR(__xludf.DUMMYFUNCTION("""COMPUTED_VALUE"""),"O objeto do presente instrumento refere-se à contratação de empresa especializada na prestação de serviço continuado de limpeza, asseio, conservação e jardinagem, com fornecimento de mão-de-obra e insumos diversos necessários à execução dos serviços, comp"&amp;"reendendo as áreas internas e externas, dos bens móveis e imóveis pertencentes a CONTRATANTE, que deriva da ADESÃO à Ata de Registro de Preços nº 010/2022/SEPLAG, decorrente do Pregão Eletrônico nº 018/2021/SEPLAG, em conformidade com o Termo de Referênci"&amp;"a apresentado e demais anexos independente de transcrição.")</f>
        <v>O objeto do presente instrumento refere-se à contratação de empresa especializada na prestação de serviço continuado de limpeza, asseio, conservação e jardinagem, com fornecimento de mão-de-obra e insumos diversos necessários à execução dos serviços, compreendendo as áreas internas e externas, dos bens móveis e imóveis pertencentes a CONTRATANTE, que deriva da ADESÃO à Ata de Registro de Preços nº 010/2022/SEPLAG, decorrente do Pregão Eletrônico nº 018/2021/SEPLAG, em conformidade com o Termo de Referência apresentado e demais anexos independente de transcrição.</v>
      </c>
      <c r="F98" s="1" t="str">
        <f>IFERROR(__xludf.DUMMYFUNCTION("""COMPUTED_VALUE"""),"16/08/2023 a 15/08/2026")</f>
        <v>16/08/2023 a 15/08/2026</v>
      </c>
      <c r="G98" s="1">
        <f>IFERROR(__xludf.DUMMYFUNCTION("""COMPUTED_VALUE"""),39.0)</f>
        <v>39</v>
      </c>
      <c r="H98" s="5">
        <f>IFERROR(__xludf.DUMMYFUNCTION("""COMPUTED_VALUE"""),103167.36)</f>
        <v>103167.36</v>
      </c>
      <c r="I98" s="5" t="str">
        <f>IFERROR(__xludf.DUMMYFUNCTION("""COMPUTED_VALUE"""),"CONTÍNUO ")</f>
        <v>CONTÍNUO </v>
      </c>
      <c r="J98" s="1" t="str">
        <f>IFERROR(__xludf.DUMMYFUNCTION("""COMPUTED_VALUE"""),"SIM")</f>
        <v>SIM</v>
      </c>
      <c r="K98" s="5">
        <f>IFERROR(__xludf.DUMMYFUNCTION("""COMPUTED_VALUE"""),-7535.690000000031)</f>
        <v>-7535.69</v>
      </c>
      <c r="L98" s="1" t="str">
        <f>IFERROR(__xludf.DUMMYFUNCTION("""COMPUTED_VALUE"""),"ANILDO PEREIRA DUTRA,")</f>
        <v>ANILDO PEREIRA DUTRA,</v>
      </c>
      <c r="M98" s="1" t="str">
        <f>IFERROR(__xludf.DUMMYFUNCTION("""COMPUTED_VALUE"""),"SAADS")</f>
        <v>SAADS</v>
      </c>
      <c r="N98" s="1"/>
      <c r="O98" s="1"/>
    </row>
    <row r="99">
      <c r="A99" s="1">
        <f>IFERROR(__xludf.DUMMYFUNCTION("""COMPUTED_VALUE"""),98.0)</f>
        <v>98</v>
      </c>
      <c r="B99" s="1" t="str">
        <f>IFERROR(__xludf.DUMMYFUNCTION("""COMPUTED_VALUE"""),"058/2022")</f>
        <v>058/2022</v>
      </c>
      <c r="C99" s="1" t="str">
        <f>IFERROR(__xludf.DUMMYFUNCTION("""COMPUTED_VALUE"""),"SETASC-PRO-2022/03645")</f>
        <v>SETASC-PRO-2022/03645</v>
      </c>
      <c r="D99" s="1" t="str">
        <f>IFERROR(__xludf.DUMMYFUNCTION("""COMPUTED_VALUE"""),"NOVO SABOR REFEIÇÕES COLETIVAS LTDA.")</f>
        <v>NOVO SABOR REFEIÇÕES COLETIVAS LTDA.</v>
      </c>
      <c r="E99" s="1" t="str">
        <f>IFERROR(__xludf.DUMMYFUNCTION("""COMPUTED_VALUE"""),"Contratação de empresa especializada para preparação, produção e fornecimento contínuos de refeições e lanches para crianças dentro das dependências do Programa Ser Criança Poconé-MT (Região VI), seguindo as especificações e demais condições estabelecidas"&amp;" neste Termo de Referência")</f>
        <v>Contratação de empresa especializada para preparação, produção e fornecimento contínuos de refeições e lanches para crianças dentro das dependências do Programa Ser Criança Poconé-MT (Região VI), seguindo as especificações e demais condições estabelecidas neste Termo de Referência</v>
      </c>
      <c r="F99" s="1" t="str">
        <f>IFERROR(__xludf.DUMMYFUNCTION("""COMPUTED_VALUE"""),"27/6/2022 à 26/06/2026")</f>
        <v>27/6/2022 à 26/06/2026</v>
      </c>
      <c r="G99" s="1">
        <f>IFERROR(__xludf.DUMMYFUNCTION("""COMPUTED_VALUE"""),30.0)</f>
        <v>30</v>
      </c>
      <c r="H99" s="5">
        <f>IFERROR(__xludf.DUMMYFUNCTION("""COMPUTED_VALUE"""),1.38672E7)</f>
        <v>13867200</v>
      </c>
      <c r="I99" s="5" t="str">
        <f>IFERROR(__xludf.DUMMYFUNCTION("""COMPUTED_VALUE"""),"CONTINUO ")</f>
        <v>CONTINUO </v>
      </c>
      <c r="J99" s="1" t="str">
        <f>IFERROR(__xludf.DUMMYFUNCTION("""COMPUTED_VALUE"""),"SIM")</f>
        <v>SIM</v>
      </c>
      <c r="K99" s="5">
        <f>IFERROR(__xludf.DUMMYFUNCTION("""COMPUTED_VALUE"""),1.029245007E7)</f>
        <v>10292450.07</v>
      </c>
      <c r="L99" s="1" t="str">
        <f>IFERROR(__xludf.DUMMYFUNCTION("""COMPUTED_VALUE"""),"ALEXA AYOUB MALUF RODER")</f>
        <v>ALEXA AYOUB MALUF RODER</v>
      </c>
      <c r="M99" s="1" t="str">
        <f>IFERROR(__xludf.DUMMYFUNCTION("""COMPUTED_VALUE"""),"SAPPEAF")</f>
        <v>SAPPEAF</v>
      </c>
      <c r="N99" s="1"/>
      <c r="O99" s="1"/>
    </row>
    <row r="100">
      <c r="A100" s="1">
        <f>IFERROR(__xludf.DUMMYFUNCTION("""COMPUTED_VALUE"""),99.0)</f>
        <v>99</v>
      </c>
      <c r="B100" s="1" t="str">
        <f>IFERROR(__xludf.DUMMYFUNCTION("""COMPUTED_VALUE"""),"053/2022")</f>
        <v>053/2022</v>
      </c>
      <c r="C100" s="1" t="str">
        <f>IFERROR(__xludf.DUMMYFUNCTION("""COMPUTED_VALUE"""),"SETASC-PRO-2022/01378")</f>
        <v>SETASC-PRO-2022/01378</v>
      </c>
      <c r="D100" s="1" t="str">
        <f>IFERROR(__xludf.DUMMYFUNCTION("""COMPUTED_VALUE"""),"PRIME CONSULTORIA E ASSESSORIA EMPRESARIAL LTDA.")</f>
        <v>PRIME CONSULTORIA E ASSESSORIA EMPRESARIAL LTDA.</v>
      </c>
      <c r="E100" s="1" t="str">
        <f>IFERROR(__xludf.DUMMYFUNCTION("""COMPUTED_VALUE"""),"O objeto do presente instrumento refere-se à contratação de empresa especializada na prestação de serviços continuados de Abastecimento e Controle do Fornecimento de Combustíveis (Gasolina comum, Etanol comum, Diesel comum, Diesel S10 e Gás Natural Veicul"&amp;"ar - GNV) em rede de postos credenciados no território nacional, com implantação e operação de sistema informatizado e integrado, acessível via web, dispondo de tecnologia de registro da operação de abastecimento com segurança e modernidade, visando ao ab"&amp;"astecimento de veículos, motores estacionários e embarcações oficiais para Secretaria de Estado de Assistência Social e Cidadania – SETASC/MT e suas unidades descentralizadas, conforme especificações e condições técnicas constantes neste Edital e em seus "&amp;"anexos, que deriva da Adesão à Ata de Registro de Preços nº 005/2022/SEPLAG, decorrente do Pregão Eletrônico nº 017/2021/SEPLAG, em conformidade com o Termo de Referência apresentado e demais anexos, independente de transcrição.")</f>
        <v>O objeto do presente instrumento refere-se à contratação de empresa especializada na prestação de serviços continuados de Abastecimento e Controle do Fornecimento de Combustíveis (Gasolina comum, Etanol comum, Diesel comum, Diesel S10 e Gás Natural Veicular - GNV) em rede de postos credenciados no território nacional, com implantação e operação de sistema informatizado e integrado, acessível via web, dispondo de tecnologia de registro da operação de abastecimento com segurança e modernidade, visando ao abastecimento de veículos, motores estacionários e embarcações oficiais para Secretaria de Estado de Assistência Social e Cidadania – SETASC/MT e suas unidades descentralizadas, conforme especificações e condições técnicas constantes neste Edital e em seus anexos, que deriva da Adesão à Ata de Registro de Preços nº 005/2022/SEPLAG, decorrente do Pregão Eletrônico nº 017/2021/SEPLAG, em conformidade com o Termo de Referência apresentado e demais anexos, independente de transcrição.</v>
      </c>
      <c r="F100" s="1" t="str">
        <f>IFERROR(__xludf.DUMMYFUNCTION("""COMPUTED_VALUE"""),"06/06/2022 à 05/06/2026")</f>
        <v>06/06/2022 à 05/06/2026</v>
      </c>
      <c r="G100" s="1">
        <f>IFERROR(__xludf.DUMMYFUNCTION("""COMPUTED_VALUE"""),30.0)</f>
        <v>30</v>
      </c>
      <c r="H100" s="5">
        <f>IFERROR(__xludf.DUMMYFUNCTION("""COMPUTED_VALUE"""),898500.0)</f>
        <v>898500</v>
      </c>
      <c r="I100" s="5" t="str">
        <f>IFERROR(__xludf.DUMMYFUNCTION("""COMPUTED_VALUE"""),"CONTÍNUO ")</f>
        <v>CONTÍNUO </v>
      </c>
      <c r="J100" s="1" t="str">
        <f>IFERROR(__xludf.DUMMYFUNCTION("""COMPUTED_VALUE"""),"SIM")</f>
        <v>SIM</v>
      </c>
      <c r="K100" s="5">
        <f>IFERROR(__xludf.DUMMYFUNCTION("""COMPUTED_VALUE"""),-213748.3200000003)</f>
        <v>-213748.32</v>
      </c>
      <c r="L100" s="1" t="str">
        <f>IFERROR(__xludf.DUMMYFUNCTION("""COMPUTED_VALUE"""),"MATEUS FELIPE FRANCELINO DE SOUZA")</f>
        <v>MATEUS FELIPE FRANCELINO DE SOUZA</v>
      </c>
      <c r="M100" s="1" t="str">
        <f>IFERROR(__xludf.DUMMYFUNCTION("""COMPUTED_VALUE"""),"SAADS")</f>
        <v>SAADS</v>
      </c>
      <c r="N100" s="1"/>
      <c r="O100" s="1"/>
    </row>
    <row r="101">
      <c r="A101" s="1">
        <f>IFERROR(__xludf.DUMMYFUNCTION("""COMPUTED_VALUE"""),100.0)</f>
        <v>100</v>
      </c>
      <c r="B101" s="1" t="str">
        <f>IFERROR(__xludf.DUMMYFUNCTION("""COMPUTED_VALUE"""),"049/2022")</f>
        <v>049/2022</v>
      </c>
      <c r="C101" s="1" t="str">
        <f>IFERROR(__xludf.DUMMYFUNCTION("""COMPUTED_VALUE"""),"SETASC-PRO-2022/01655 ")</f>
        <v>SETASC-PRO-2022/01655 </v>
      </c>
      <c r="D101" s="1" t="str">
        <f>IFERROR(__xludf.DUMMYFUNCTION("""COMPUTED_VALUE"""),"SUPRIDATAS")</f>
        <v>SUPRIDATAS</v>
      </c>
      <c r="E101" s="1" t="str">
        <f>IFERROR(__xludf.DUMMYFUNCTION("""COMPUTED_VALUE"""),"O objeto do presente instrumento refere-se à contratação de empresa especializada na prestação de serviços de manutenção preventiva e corretiva, com fornecimento de materiais e peças, desmontagem, transporte e remontagem de sistemas de arquivos deslizante"&amp;"s, para atender a Secretaria de Estado de Assistência Social e Cidadania – SETASC/MT")</f>
        <v>O objeto do presente instrumento refere-se à contratação de empresa especializada na prestação de serviços de manutenção preventiva e corretiva, com fornecimento de materiais e peças, desmontagem, transporte e remontagem de sistemas de arquivos deslizantes, para atender a Secretaria de Estado de Assistência Social e Cidadania – SETASC/MT</v>
      </c>
      <c r="F101" s="1" t="str">
        <f>IFERROR(__xludf.DUMMYFUNCTION("""COMPUTED_VALUE"""),"11/05/2022 A 10/05/2026")</f>
        <v>11/05/2022 A 10/05/2026</v>
      </c>
      <c r="G101" s="1">
        <f>IFERROR(__xludf.DUMMYFUNCTION("""COMPUTED_VALUE"""),39.0)</f>
        <v>39</v>
      </c>
      <c r="H101" s="5">
        <f>IFERROR(__xludf.DUMMYFUNCTION("""COMPUTED_VALUE"""),46749.6)</f>
        <v>46749.6</v>
      </c>
      <c r="I101" s="5" t="str">
        <f>IFERROR(__xludf.DUMMYFUNCTION("""COMPUTED_VALUE"""),"CONTÍNUO")</f>
        <v>CONTÍNUO</v>
      </c>
      <c r="J101" s="1" t="str">
        <f>IFERROR(__xludf.DUMMYFUNCTION("""COMPUTED_VALUE"""),"NÃO")</f>
        <v>NÃO</v>
      </c>
      <c r="K101" s="5">
        <f>IFERROR(__xludf.DUMMYFUNCTION("""COMPUTED_VALUE"""),-19479.000000000022)</f>
        <v>-19479</v>
      </c>
      <c r="L101" s="1" t="str">
        <f>IFERROR(__xludf.DUMMYFUNCTION("""COMPUTED_VALUE"""),"JOÃO ROSA DOS SANTOS JUNIOR")</f>
        <v>JOÃO ROSA DOS SANTOS JUNIOR</v>
      </c>
      <c r="M101" s="1" t="str">
        <f>IFERROR(__xludf.DUMMYFUNCTION("""COMPUTED_VALUE"""),"SAADS")</f>
        <v>SAADS</v>
      </c>
      <c r="N101" s="1"/>
      <c r="O101" s="1"/>
    </row>
    <row r="102">
      <c r="A102" s="1">
        <f>IFERROR(__xludf.DUMMYFUNCTION("""COMPUTED_VALUE"""),101.0)</f>
        <v>101</v>
      </c>
      <c r="B102" s="1" t="str">
        <f>IFERROR(__xludf.DUMMYFUNCTION("""COMPUTED_VALUE"""),"041/2022")</f>
        <v>041/2022</v>
      </c>
      <c r="C102" s="1" t="str">
        <f>IFERROR(__xludf.DUMMYFUNCTION("""COMPUTED_VALUE"""),"SETASC-PRO-2022/00614")</f>
        <v>SETASC-PRO-2022/00614</v>
      </c>
      <c r="D102" s="1" t="str">
        <f>IFERROR(__xludf.DUMMYFUNCTION("""COMPUTED_VALUE"""),"ALLEGRATUR AGÊNCIA DE VIAGENS E TURISMO LTDA.-EPP")</f>
        <v>ALLEGRATUR AGÊNCIA DE VIAGENS E TURISMO LTDA.-EPP</v>
      </c>
      <c r="E102" s="1" t="str">
        <f>IFERROR(__xludf.DUMMYFUNCTION("""COMPUTED_VALUE"""),"contratação de empresa especializada na prestação de serviços de locação de veículo tipo micro-ônibus e van, para transporte de passageiros, para atender a demanda da SECRETARIA DE ESTADO DE ASSISTÊNCIA SOCIAL E CIDADANIA – SETASC-MT.")</f>
        <v>contratação de empresa especializada na prestação de serviços de locação de veículo tipo micro-ônibus e van, para transporte de passageiros, para atender a demanda da SECRETARIA DE ESTADO DE ASSISTÊNCIA SOCIAL E CIDADANIA – SETASC-MT.</v>
      </c>
      <c r="F102" s="1" t="str">
        <f>IFERROR(__xludf.DUMMYFUNCTION("""COMPUTED_VALUE"""),"04/05/2022 a 03/05/2026")</f>
        <v>04/05/2022 a 03/05/2026</v>
      </c>
      <c r="G102" s="1">
        <f>IFERROR(__xludf.DUMMYFUNCTION("""COMPUTED_VALUE"""),39.0)</f>
        <v>39</v>
      </c>
      <c r="H102" s="5">
        <f>IFERROR(__xludf.DUMMYFUNCTION("""COMPUTED_VALUE"""),1326462.58)</f>
        <v>1326462.58</v>
      </c>
      <c r="I102" s="5" t="str">
        <f>IFERROR(__xludf.DUMMYFUNCTION("""COMPUTED_VALUE"""),"DEMANDA")</f>
        <v>DEMANDA</v>
      </c>
      <c r="J102" s="1" t="str">
        <f>IFERROR(__xludf.DUMMYFUNCTION("""COMPUTED_VALUE"""),"SIM")</f>
        <v>SIM</v>
      </c>
      <c r="K102" s="5">
        <f>IFERROR(__xludf.DUMMYFUNCTION("""COMPUTED_VALUE"""),760542.6299999999)</f>
        <v>760542.63</v>
      </c>
      <c r="L102" s="1" t="str">
        <f>IFERROR(__xludf.DUMMYFUNCTION("""COMPUTED_VALUE"""),"JOSÉ HENRIQUE CASARIM LOPES")</f>
        <v>JOSÉ HENRIQUE CASARIM LOPES</v>
      </c>
      <c r="M102" s="1" t="str">
        <f>IFERROR(__xludf.DUMMYFUNCTION("""COMPUTED_VALUE"""),"SAADS")</f>
        <v>SAADS</v>
      </c>
      <c r="N102" s="1"/>
      <c r="O102" s="1"/>
    </row>
    <row r="103">
      <c r="A103" s="1">
        <f>IFERROR(__xludf.DUMMYFUNCTION("""COMPUTED_VALUE"""),102.0)</f>
        <v>102</v>
      </c>
      <c r="B103" s="1" t="str">
        <f>IFERROR(__xludf.DUMMYFUNCTION("""COMPUTED_VALUE"""),"015/2022")</f>
        <v>015/2022</v>
      </c>
      <c r="C103" s="1" t="str">
        <f>IFERROR(__xludf.DUMMYFUNCTION("""COMPUTED_VALUE"""),"SETASC-PRO-2022/00987")</f>
        <v>SETASC-PRO-2022/00987</v>
      </c>
      <c r="D103" s="1" t="str">
        <f>IFERROR(__xludf.DUMMYFUNCTION("""COMPUTED_VALUE"""),"PRIME CONSULTORIA")</f>
        <v>PRIME CONSULTORIA</v>
      </c>
      <c r="E103" s="1" t="str">
        <f>IFERROR(__xludf.DUMMYFUNCTION("""COMPUTED_VALUE"""),"Adesão a Ata de Registro de Preços 001/2022/SEPLAG para contratação de empresa especializada na prestação de serviços continuados de gerenciamento e controle da manutenção preventiva, corretiva e preditiva da frota de veículos, incluindo toda tecnologia e"&amp;"mbarcada e mão de obra a serem empregadas na prestação dos serviços, cumulada com lavagem, polimento de pintura, assistência de socorro mecânico, assistência em caso de pane elétrica, lanternagem em geral, adesivagem/plotagem, capotaria, tapeçaria e pintu"&amp;"ra com reposição de peças originais novas de primeiro uso, troca de pneu, acessórios, componentes e materiais além de transporte por reboque/guincho, com implantação e operação de sistema informatizado e integrado para gestão de frota, acessível via web, "&amp;"por intermédio de rede de estabelecimentos credenciados, para atender as demandas da SETASC/MT e suas unidades descentralizadas.")</f>
        <v>Adesão a Ata de Registro de Preços 001/2022/SEPLAG para contratação de empresa especializada na prestação de serviços continuados de gerenciamento e controle da manutenção preventiva, corretiva e preditiva da frota de veículos, incluindo toda tecnologia embarcada e mão de obra a serem empregadas na prestação dos serviços, cumulada com lavagem, polimento de pintura, assistência de socorro mecânico, assistência em caso de pane elétrica, lanternagem em geral, adesivagem/plotagem, capotaria, tapeçaria e pintura com reposição de peças originais novas de primeiro uso, troca de pneu, acessórios, componentes e materiais além de transporte por reboque/guincho, com implantação e operação de sistema informatizado e integrado para gestão de frota, acessível via web, por intermédio de rede de estabelecimentos credenciados, para atender as demandas da SETASC/MT e suas unidades descentralizadas.</v>
      </c>
      <c r="F103" s="1" t="str">
        <f>IFERROR(__xludf.DUMMYFUNCTION("""COMPUTED_VALUE"""),"12/04/2023 a 11/04/2026")</f>
        <v>12/04/2023 a 11/04/2026</v>
      </c>
      <c r="G103" s="1">
        <f>IFERROR(__xludf.DUMMYFUNCTION("""COMPUTED_VALUE"""),39.0)</f>
        <v>39</v>
      </c>
      <c r="H103" s="5">
        <f>IFERROR(__xludf.DUMMYFUNCTION("""COMPUTED_VALUE"""),125000.0)</f>
        <v>125000</v>
      </c>
      <c r="I103" s="5" t="str">
        <f>IFERROR(__xludf.DUMMYFUNCTION("""COMPUTED_VALUE"""),"DEMANDA")</f>
        <v>DEMANDA</v>
      </c>
      <c r="J103" s="1" t="str">
        <f>IFERROR(__xludf.DUMMYFUNCTION("""COMPUTED_VALUE"""),"SIM")</f>
        <v>SIM</v>
      </c>
      <c r="K103" s="5">
        <f>IFERROR(__xludf.DUMMYFUNCTION("""COMPUTED_VALUE"""),98056.0)</f>
        <v>98056</v>
      </c>
      <c r="L103" s="1" t="str">
        <f>IFERROR(__xludf.DUMMYFUNCTION("""COMPUTED_VALUE"""),"MATEUS FELIPE FRANCELINO DE SOUZA")</f>
        <v>MATEUS FELIPE FRANCELINO DE SOUZA</v>
      </c>
      <c r="M103" s="1" t="str">
        <f>IFERROR(__xludf.DUMMYFUNCTION("""COMPUTED_VALUE"""),"SAADS")</f>
        <v>SAADS</v>
      </c>
      <c r="N103" s="1"/>
      <c r="O103" s="1"/>
    </row>
    <row r="104">
      <c r="A104" s="1">
        <f>IFERROR(__xludf.DUMMYFUNCTION("""COMPUTED_VALUE"""),103.0)</f>
        <v>103</v>
      </c>
      <c r="B104" s="1" t="str">
        <f>IFERROR(__xludf.DUMMYFUNCTION("""COMPUTED_VALUE"""),"072/2021")</f>
        <v>072/2021</v>
      </c>
      <c r="C104" s="1" t="str">
        <f>IFERROR(__xludf.DUMMYFUNCTION("""COMPUTED_VALUE"""),"SETASC-PRO-2022/00461")</f>
        <v>SETASC-PRO-2022/00461</v>
      </c>
      <c r="D104" s="1" t="str">
        <f>IFERROR(__xludf.DUMMYFUNCTION("""COMPUTED_VALUE"""),"ADSERVI ADMINISTRADORA DE SERVIÇOS LTDA")</f>
        <v>ADSERVI ADMINISTRADORA DE SERVIÇOS LTDA</v>
      </c>
      <c r="E104" s="1" t="str">
        <f>IFERROR(__xludf.DUMMYFUNCTION("""COMPUTED_VALUE"""),"O objeto do presente instrumento refere-se à contratação de empresa especializada em prestação de serviços contínuos de terceirização de mão-de-obra de Oficial de Serviços Gerais para atender a demanda da SETASC ")</f>
        <v>O objeto do presente instrumento refere-se à contratação de empresa especializada em prestação de serviços contínuos de terceirização de mão-de-obra de Oficial de Serviços Gerais para atender a demanda da SETASC </v>
      </c>
      <c r="F104" s="1" t="str">
        <f>IFERROR(__xludf.DUMMYFUNCTION("""COMPUTED_VALUE"""),"08/11/2022 a 07/11/2025 (ADITIVO EM ANDAMENTO)")</f>
        <v>08/11/2022 a 07/11/2025 (ADITIVO EM ANDAMENTO)</v>
      </c>
      <c r="G104" s="1">
        <f>IFERROR(__xludf.DUMMYFUNCTION("""COMPUTED_VALUE"""),37.0)</f>
        <v>37</v>
      </c>
      <c r="H104" s="5">
        <f>IFERROR(__xludf.DUMMYFUNCTION("""COMPUTED_VALUE"""),179564.64)</f>
        <v>179564.64</v>
      </c>
      <c r="I104" s="5" t="str">
        <f>IFERROR(__xludf.DUMMYFUNCTION("""COMPUTED_VALUE"""),"MENSAL")</f>
        <v>MENSAL</v>
      </c>
      <c r="J104" s="1" t="str">
        <f>IFERROR(__xludf.DUMMYFUNCTION("""COMPUTED_VALUE"""),"SIM")</f>
        <v>SIM</v>
      </c>
      <c r="K104" s="5">
        <f>IFERROR(__xludf.DUMMYFUNCTION("""COMPUTED_VALUE"""),37909.590000000026)</f>
        <v>37909.59</v>
      </c>
      <c r="L104" s="1" t="str">
        <f>IFERROR(__xludf.DUMMYFUNCTION("""COMPUTED_VALUE"""),"FERNANDA MARIA PEREIRA")</f>
        <v>FERNANDA MARIA PEREIRA</v>
      </c>
      <c r="M104" s="1" t="str">
        <f>IFERROR(__xludf.DUMMYFUNCTION("""COMPUTED_VALUE"""),"SAADS")</f>
        <v>SAADS</v>
      </c>
      <c r="N104" s="1"/>
      <c r="O104" s="1"/>
    </row>
    <row r="105">
      <c r="A105" s="1">
        <f>IFERROR(__xludf.DUMMYFUNCTION("""COMPUTED_VALUE"""),104.0)</f>
        <v>104</v>
      </c>
      <c r="B105" s="1" t="str">
        <f>IFERROR(__xludf.DUMMYFUNCTION("""COMPUTED_VALUE"""),"071/2021")</f>
        <v>071/2021</v>
      </c>
      <c r="C105" s="1" t="str">
        <f>IFERROR(__xludf.DUMMYFUNCTION("""COMPUTED_VALUE"""),"SETASC-PRO-2022/00612")</f>
        <v>SETASC-PRO-2022/00612</v>
      </c>
      <c r="D105" s="1" t="str">
        <f>IFERROR(__xludf.DUMMYFUNCTION("""COMPUTED_VALUE"""),"ORBENK ADMINISTRAÇÃO E SERVIÇOS LTDA")</f>
        <v>ORBENK ADMINISTRAÇÃO E SERVIÇOS LTDA</v>
      </c>
      <c r="E105" s="1" t="str">
        <f>IFERROR(__xludf.DUMMYFUNCTION("""COMPUTED_VALUE"""),"O objeto do presente instrumento refere-se à contratação de empresa especializada em prestação de serviços contínuos de terceirização de mão-de-obra de Recepcionista e Copeiro(a) para atender a demanda da SETASC – SECRETARIA DE ESTADO DE ASSISTÊNCIA SOCIA"&amp;"L E CIDADANIA")</f>
        <v>O objeto do presente instrumento refere-se à contratação de empresa especializada em prestação de serviços contínuos de terceirização de mão-de-obra de Recepcionista e Copeiro(a) para atender a demanda da SETASC – SECRETARIA DE ESTADO DE ASSISTÊNCIA SOCIAL E CIDADANIA</v>
      </c>
      <c r="F105" s="1" t="str">
        <f>IFERROR(__xludf.DUMMYFUNCTION("""COMPUTED_VALUE"""),"04/11/2022 a 03/11/2025 (ADITIVO EM ANDAMENTO)")</f>
        <v>04/11/2022 a 03/11/2025 (ADITIVO EM ANDAMENTO)</v>
      </c>
      <c r="G105" s="1">
        <f>IFERROR(__xludf.DUMMYFUNCTION("""COMPUTED_VALUE"""),37.0)</f>
        <v>37</v>
      </c>
      <c r="H105" s="5">
        <f>IFERROR(__xludf.DUMMYFUNCTION("""COMPUTED_VALUE"""),359397.24)</f>
        <v>359397.24</v>
      </c>
      <c r="I105" s="5" t="str">
        <f>IFERROR(__xludf.DUMMYFUNCTION("""COMPUTED_VALUE"""),"MENSAL")</f>
        <v>MENSAL</v>
      </c>
      <c r="J105" s="1" t="str">
        <f>IFERROR(__xludf.DUMMYFUNCTION("""COMPUTED_VALUE"""),"NÃO")</f>
        <v>NÃO</v>
      </c>
      <c r="K105" s="5">
        <f>IFERROR(__xludf.DUMMYFUNCTION("""COMPUTED_VALUE"""),102214.18000000002)</f>
        <v>102214.18</v>
      </c>
      <c r="L105" s="1" t="str">
        <f>IFERROR(__xludf.DUMMYFUNCTION("""COMPUTED_VALUE"""),"RONALDO BENKENDORF")</f>
        <v>RONALDO BENKENDORF</v>
      </c>
      <c r="M105" s="1" t="str">
        <f>IFERROR(__xludf.DUMMYFUNCTION("""COMPUTED_VALUE"""),"SAADS")</f>
        <v>SAADS</v>
      </c>
      <c r="N105" s="1"/>
      <c r="O105" s="1"/>
    </row>
    <row r="106">
      <c r="A106" s="1">
        <f>IFERROR(__xludf.DUMMYFUNCTION("""COMPUTED_VALUE"""),105.0)</f>
        <v>105</v>
      </c>
      <c r="B106" s="1" t="str">
        <f>IFERROR(__xludf.DUMMYFUNCTION("""COMPUTED_VALUE"""),"035/2021")</f>
        <v>035/2021</v>
      </c>
      <c r="C106" s="1" t="str">
        <f>IFERROR(__xludf.DUMMYFUNCTION("""COMPUTED_VALUE"""),"SETASC-PRO-2022/00460")</f>
        <v>SETASC-PRO-2022/00460</v>
      </c>
      <c r="D106" s="1" t="str">
        <f>IFERROR(__xludf.DUMMYFUNCTION("""COMPUTED_VALUE"""),"CID IMÓVEIS EIRELI EPP")</f>
        <v>CID IMÓVEIS EIRELI EPP</v>
      </c>
      <c r="E106" s="1" t="str">
        <f>IFERROR(__xludf.DUMMYFUNCTION("""COMPUTED_VALUE"""),"O objeto do presente Contrato consiste na locação de imóvel situado no endereço Rua Jornalista Amaro de Figueiredo Falcão matricula n° 109.282 folha 039, livro 2, em 21-01-2013, no 6° Serviço Notarial e Registro de Imóveis da Terceira Circunscrição Imobil"&amp;"iária, finalidade de Instalação temporária da sede da SECRETARIA DE ESTADO DE ASSISTÊNCIA SOCIAL E CIDADANIA – SETASC/MT.")</f>
        <v>O objeto do presente Contrato consiste na locação de imóvel situado no endereço Rua Jornalista Amaro de Figueiredo Falcão matricula n° 109.282 folha 039, livro 2, em 21-01-2013, no 6° Serviço Notarial e Registro de Imóveis da Terceira Circunscrição Imobiliária, finalidade de Instalação temporária da sede da SECRETARIA DE ESTADO DE ASSISTÊNCIA SOCIAL E CIDADANIA – SETASC/MT.</v>
      </c>
      <c r="F106" s="1" t="str">
        <f>IFERROR(__xludf.DUMMYFUNCTION("""COMPUTED_VALUE"""),"03/09/2023 a 02/09/2026")</f>
        <v>03/09/2023 a 02/09/2026</v>
      </c>
      <c r="G106" s="1">
        <f>IFERROR(__xludf.DUMMYFUNCTION("""COMPUTED_VALUE"""),39.0)</f>
        <v>39</v>
      </c>
      <c r="H106" s="5">
        <f>IFERROR(__xludf.DUMMYFUNCTION("""COMPUTED_VALUE"""),480000.0)</f>
        <v>480000</v>
      </c>
      <c r="I106" s="5" t="str">
        <f>IFERROR(__xludf.DUMMYFUNCTION("""COMPUTED_VALUE"""),"CONTINUO")</f>
        <v>CONTINUO</v>
      </c>
      <c r="J106" s="1" t="str">
        <f>IFERROR(__xludf.DUMMYFUNCTION("""COMPUTED_VALUE"""),"NÃO")</f>
        <v>NÃO</v>
      </c>
      <c r="K106" s="5">
        <f>IFERROR(__xludf.DUMMYFUNCTION("""COMPUTED_VALUE"""),0.0)</f>
        <v>0</v>
      </c>
      <c r="L106" s="1" t="str">
        <f>IFERROR(__xludf.DUMMYFUNCTION("""COMPUTED_VALUE"""),"APARECIDO TERNOVOI DE MORAES")</f>
        <v>APARECIDO TERNOVOI DE MORAES</v>
      </c>
      <c r="M106" s="1" t="str">
        <f>IFERROR(__xludf.DUMMYFUNCTION("""COMPUTED_VALUE"""),"SAADS")</f>
        <v>SAADS</v>
      </c>
      <c r="N106" s="1"/>
      <c r="O106" s="1"/>
    </row>
    <row r="107">
      <c r="A107" s="1">
        <f>IFERROR(__xludf.DUMMYFUNCTION("""COMPUTED_VALUE"""),106.0)</f>
        <v>106</v>
      </c>
      <c r="B107" s="1" t="str">
        <f>IFERROR(__xludf.DUMMYFUNCTION("""COMPUTED_VALUE"""),"034/2021")</f>
        <v>034/2021</v>
      </c>
      <c r="C107" s="1" t="str">
        <f>IFERROR(__xludf.DUMMYFUNCTION("""COMPUTED_VALUE"""),"SETASC-PRO-2022/00777")</f>
        <v>SETASC-PRO-2022/00777</v>
      </c>
      <c r="D107" s="1" t="str">
        <f>IFERROR(__xludf.DUMMYFUNCTION("""COMPUTED_VALUE"""),"PHILIP OBRIEN DANZMANN FERREIRA")</f>
        <v>PHILIP OBRIEN DANZMANN FERREIRA</v>
      </c>
      <c r="E107" s="1" t="str">
        <f>IFERROR(__xludf.DUMMYFUNCTION("""COMPUTED_VALUE"""),"Aquisição de Solução de Backup com armazenamento em nuvem e local, para garantir a integridade, segurança e disponibilidade dos dados contidos em todos os equipamentos servidores da SETASC/MT.")</f>
        <v>Aquisição de Solução de Backup com armazenamento em nuvem e local, para garantir a integridade, segurança e disponibilidade dos dados contidos em todos os equipamentos servidores da SETASC/MT.</v>
      </c>
      <c r="F107" s="1" t="str">
        <f>IFERROR(__xludf.DUMMYFUNCTION("""COMPUTED_VALUE"""),"27/07/2021 A 26/07/2026 ")</f>
        <v>27/07/2021 A 26/07/2026 </v>
      </c>
      <c r="G107" s="1">
        <f>IFERROR(__xludf.DUMMYFUNCTION("""COMPUTED_VALUE"""),40.0)</f>
        <v>40</v>
      </c>
      <c r="H107" s="5">
        <f>IFERROR(__xludf.DUMMYFUNCTION("""COMPUTED_VALUE"""),33999.96)</f>
        <v>33999.96</v>
      </c>
      <c r="I107" s="5" t="str">
        <f>IFERROR(__xludf.DUMMYFUNCTION("""COMPUTED_VALUE"""),"MENSAL ( R$ 2.833,33)")</f>
        <v>MENSAL ( R$ 2.833,33)</v>
      </c>
      <c r="J107" s="1" t="str">
        <f>IFERROR(__xludf.DUMMYFUNCTION("""COMPUTED_VALUE"""),"NÃO")</f>
        <v>NÃO</v>
      </c>
      <c r="K107" s="5">
        <f>IFERROR(__xludf.DUMMYFUNCTION("""COMPUTED_VALUE"""),-3069.4400000000096)</f>
        <v>-3069.44</v>
      </c>
      <c r="L107" s="1" t="str">
        <f>IFERROR(__xludf.DUMMYFUNCTION("""COMPUTED_VALUE"""),"PHILIP OBRIEN DANZMANN FERREIRA")</f>
        <v>PHILIP OBRIEN DANZMANN FERREIRA</v>
      </c>
      <c r="M107" s="1" t="str">
        <f>IFERROR(__xludf.DUMMYFUNCTION("""COMPUTED_VALUE"""),"SAADS")</f>
        <v>SAADS</v>
      </c>
      <c r="N107" s="1"/>
      <c r="O107" s="1"/>
    </row>
    <row r="108">
      <c r="A108" s="1">
        <f>IFERROR(__xludf.DUMMYFUNCTION("""COMPUTED_VALUE"""),107.0)</f>
        <v>107</v>
      </c>
      <c r="B108" s="1" t="str">
        <f>IFERROR(__xludf.DUMMYFUNCTION("""COMPUTED_VALUE"""),"002/2021")</f>
        <v>002/2021</v>
      </c>
      <c r="C108" s="1" t="str">
        <f>IFERROR(__xludf.DUMMYFUNCTION("""COMPUTED_VALUE"""),"SETASC-PRO-2022/02542")</f>
        <v>SETASC-PRO-2022/02542</v>
      </c>
      <c r="D108" s="1" t="str">
        <f>IFERROR(__xludf.DUMMYFUNCTION("""COMPUTED_VALUE"""),"MTI- EMPRESA MATO GROSSENSE DE TECNOLOGIA DA INFORMAÇÃO - PROCON   ")</f>
        <v>MTI- EMPRESA MATO GROSSENSE DE TECNOLOGIA DA INFORMAÇÃO - PROCON   </v>
      </c>
      <c r="E108" s="1" t="str">
        <f>IFERROR(__xludf.DUMMYFUNCTION("""COMPUTED_VALUE"""),"Prestação de serviços corporativos continuado de tecnologia da informação a fim de atender à Secretaria de Estado de Assistência Social e Cidadania- SETASC e suas unidades descentralizadas.")</f>
        <v>Prestação de serviços corporativos continuado de tecnologia da informação a fim de atender à Secretaria de Estado de Assistência Social e Cidadania- SETASC e suas unidades descentralizadas.</v>
      </c>
      <c r="F108" s="1" t="str">
        <f>IFERROR(__xludf.DUMMYFUNCTION("""COMPUTED_VALUE"""),"06/07/2021 A 06/07/2026")</f>
        <v>06/07/2021 A 06/07/2026</v>
      </c>
      <c r="G108" s="1">
        <f>IFERROR(__xludf.DUMMYFUNCTION("""COMPUTED_VALUE"""),40.0)</f>
        <v>40</v>
      </c>
      <c r="H108" s="5">
        <f>IFERROR(__xludf.DUMMYFUNCTION("""COMPUTED_VALUE"""),2251816.56)</f>
        <v>2251816.56</v>
      </c>
      <c r="I108" s="5" t="str">
        <f>IFERROR(__xludf.DUMMYFUNCTION("""COMPUTED_VALUE"""),"CONTINUO")</f>
        <v>CONTINUO</v>
      </c>
      <c r="J108" s="1" t="str">
        <f>IFERROR(__xludf.DUMMYFUNCTION("""COMPUTED_VALUE"""),"NÃO")</f>
        <v>NÃO</v>
      </c>
      <c r="K108" s="5">
        <f>IFERROR(__xludf.DUMMYFUNCTION("""COMPUTED_VALUE"""),1977905.2499999998)</f>
        <v>1977905.25</v>
      </c>
      <c r="L108" s="1" t="str">
        <f>IFERROR(__xludf.DUMMYFUNCTION("""COMPUTED_VALUE"""),"ANTÔNIO MARCOS SILVA DE OLIVEIRA")</f>
        <v>ANTÔNIO MARCOS SILVA DE OLIVEIRA</v>
      </c>
      <c r="M108" s="1" t="str">
        <f>IFERROR(__xludf.DUMMYFUNCTION("""COMPUTED_VALUE"""),"SAADS")</f>
        <v>SAADS</v>
      </c>
      <c r="N108" s="1"/>
      <c r="O108" s="1"/>
    </row>
    <row r="109">
      <c r="A109" s="1">
        <f>IFERROR(__xludf.DUMMYFUNCTION("""COMPUTED_VALUE"""),108.0)</f>
        <v>108</v>
      </c>
      <c r="B109" s="1" t="str">
        <f>IFERROR(__xludf.DUMMYFUNCTION("""COMPUTED_VALUE"""),"003/2021")</f>
        <v>003/2021</v>
      </c>
      <c r="C109" s="1" t="str">
        <f>IFERROR(__xludf.DUMMYFUNCTION("""COMPUTED_VALUE"""),"SETASC-PRO-2022/00836")</f>
        <v>SETASC-PRO-2022/00836</v>
      </c>
      <c r="D109" s="1" t="str">
        <f>IFERROR(__xludf.DUMMYFUNCTION("""COMPUTED_VALUE"""),"CORREIOS")</f>
        <v>CORREIOS</v>
      </c>
      <c r="E109" s="1" t="str">
        <f>IFERROR(__xludf.DUMMYFUNCTION("""COMPUTED_VALUE"""),"Contratação de produtos e serviços por meio de Pacote de Serviços dos CORREIOS - Empresa Brasileira de Correios e Telégrafos, conforme o Termo de Condições Comerciais e Anexos que permite a compra de produtos e utilização dos diversos serviços dos CORREIO"&amp;"S através dos canais de atendimento disponibilizados para atender a SETASC e suas unidades descentralizadas.")</f>
        <v>Contratação de produtos e serviços por meio de Pacote de Serviços dos CORREIOS - Empresa Brasileira de Correios e Telégrafos, conforme o Termo de Condições Comerciais e Anexos que permite a compra de produtos e utilização dos diversos serviços dos CORREIOS através dos canais de atendimento disponibilizados para atender a SETASC e suas unidades descentralizadas.</v>
      </c>
      <c r="F109" s="1" t="str">
        <f>IFERROR(__xludf.DUMMYFUNCTION("""COMPUTED_VALUE"""),"26/01/2021 A 26/01/2026")</f>
        <v>26/01/2021 A 26/01/2026</v>
      </c>
      <c r="G109" s="1">
        <f>IFERROR(__xludf.DUMMYFUNCTION("""COMPUTED_VALUE"""),39.0)</f>
        <v>39</v>
      </c>
      <c r="H109" s="5">
        <f>IFERROR(__xludf.DUMMYFUNCTION("""COMPUTED_VALUE"""),1500000.0)</f>
        <v>1500000</v>
      </c>
      <c r="I109" s="5" t="str">
        <f>IFERROR(__xludf.DUMMYFUNCTION("""COMPUTED_VALUE"""),"CONTINUO")</f>
        <v>CONTINUO</v>
      </c>
      <c r="J109" s="1" t="str">
        <f>IFERROR(__xludf.DUMMYFUNCTION("""COMPUTED_VALUE"""),"SIM")</f>
        <v>SIM</v>
      </c>
      <c r="K109" s="5">
        <f>IFERROR(__xludf.DUMMYFUNCTION("""COMPUTED_VALUE"""),825963.9599999997)</f>
        <v>825963.96</v>
      </c>
      <c r="L109" s="1" t="str">
        <f>IFERROR(__xludf.DUMMYFUNCTION("""COMPUTED_VALUE"""),"HELEN APARECIDA DE OLIVEIRA CARDOSO")</f>
        <v>HELEN APARECIDA DE OLIVEIRA CARDOSO</v>
      </c>
      <c r="M109" s="1" t="str">
        <f>IFERROR(__xludf.DUMMYFUNCTION("""COMPUTED_VALUE"""),"SAADS")</f>
        <v>SAADS</v>
      </c>
      <c r="N109" s="1"/>
      <c r="O109" s="1"/>
    </row>
    <row r="110">
      <c r="A110" s="1">
        <f>IFERROR(__xludf.DUMMYFUNCTION("""COMPUTED_VALUE"""),109.0)</f>
        <v>109</v>
      </c>
      <c r="B110" s="1" t="str">
        <f>IFERROR(__xludf.DUMMYFUNCTION("""COMPUTED_VALUE"""),"023/2020")</f>
        <v>023/2020</v>
      </c>
      <c r="C110" s="1" t="str">
        <f>IFERROR(__xludf.DUMMYFUNCTION("""COMPUTED_VALUE"""),"SETASC-PRO-2022/00804")</f>
        <v>SETASC-PRO-2022/00804</v>
      </c>
      <c r="D110" s="1" t="str">
        <f>IFERROR(__xludf.DUMMYFUNCTION("""COMPUTED_VALUE"""),"TMF CONSTRUÇÕES E SERVIÇOS EIRELLI")</f>
        <v>TMF CONSTRUÇÕES E SERVIÇOS EIRELLI</v>
      </c>
      <c r="E110" s="1" t="str">
        <f>IFERROR(__xludf.DUMMYFUNCTION("""COMPUTED_VALUE"""),"Contratação de empresa que, sob demanda, prestará serviços de manutenção predial preventiva (visita periódica) e corretiva (eventuais), com fornecimento de peças, equipamentos, materiais e mão de obra, com o maior desconto a ser aplicado na forma estabele"&amp;"cida em planilhas de serviços e insumos, constantes da TABELA SINAPI, visando atender a demanda da SECRETARIA DE ESTADO DE ASSISTÊNCIA SOCIAL E CIDADANIA - SETASC/MT, que deriva do PREGÃO ELETRÔNICO: N° 002/2020/GOVERNADORIA.")</f>
        <v>Contratação de empresa que, sob demanda, prestará serviços de manutenção predial preventiva (visita periódica) e corretiva (eventuais), com fornecimento de peças, equipamentos, materiais e mão de obra, com o maior desconto a ser aplicado na forma estabelecida em planilhas de serviços e insumos, constantes da TABELA SINAPI, visando atender a demanda da SECRETARIA DE ESTADO DE ASSISTÊNCIA SOCIAL E CIDADANIA - SETASC/MT, que deriva do PREGÃO ELETRÔNICO: N° 002/2020/GOVERNADORIA.</v>
      </c>
      <c r="F110" s="1" t="str">
        <f>IFERROR(__xludf.DUMMYFUNCTION("""COMPUTED_VALUE"""),"24/11/2020 a 23/11/2025  (última vigência - não pode prorrogar)")</f>
        <v>24/11/2020 a 23/11/2025  (última vigência - não pode prorrogar)</v>
      </c>
      <c r="G110" s="11">
        <f>IFERROR(__xludf.DUMMYFUNCTION("""COMPUTED_VALUE"""),39.0)</f>
        <v>39</v>
      </c>
      <c r="H110" s="6">
        <f>IFERROR(__xludf.DUMMYFUNCTION("""COMPUTED_VALUE"""),1000000.0)</f>
        <v>1000000</v>
      </c>
      <c r="I110" s="6" t="str">
        <f>IFERROR(__xludf.DUMMYFUNCTION("""COMPUTED_VALUE"""),"DEMANDA")</f>
        <v>DEMANDA</v>
      </c>
      <c r="J110" s="1" t="str">
        <f>IFERROR(__xludf.DUMMYFUNCTION("""COMPUTED_VALUE"""),"NÃO")</f>
        <v>NÃO</v>
      </c>
      <c r="K110" s="5">
        <f>IFERROR(__xludf.DUMMYFUNCTION("""COMPUTED_VALUE"""),41774.47999999998)</f>
        <v>41774.48</v>
      </c>
      <c r="L110" s="1" t="str">
        <f>IFERROR(__xludf.DUMMYFUNCTION("""COMPUTED_VALUE"""),"THIAGO RONCHI ADRIEN EUGENIO")</f>
        <v>THIAGO RONCHI ADRIEN EUGENIO</v>
      </c>
      <c r="M110" s="1" t="str">
        <f>IFERROR(__xludf.DUMMYFUNCTION("""COMPUTED_VALUE"""),"SAADS")</f>
        <v>SAADS</v>
      </c>
      <c r="N110" s="1"/>
      <c r="O110" s="1"/>
    </row>
    <row r="111">
      <c r="A111" s="1">
        <f>IFERROR(__xludf.DUMMYFUNCTION("""COMPUTED_VALUE"""),110.0)</f>
        <v>110</v>
      </c>
      <c r="B111" s="1" t="str">
        <f>IFERROR(__xludf.DUMMYFUNCTION("""COMPUTED_VALUE"""),"021/2020")</f>
        <v>021/2020</v>
      </c>
      <c r="C111" s="1" t="str">
        <f>IFERROR(__xludf.DUMMYFUNCTION("""COMPUTED_VALUE"""),"SETASC-PRO-2022/00416")</f>
        <v>SETASC-PRO-2022/00416</v>
      </c>
      <c r="D111" s="1" t="str">
        <f>IFERROR(__xludf.DUMMYFUNCTION("""COMPUTED_VALUE"""),"W. A. EQUIPAMENTOS E SERVIÇOS LTDA")</f>
        <v>W. A. EQUIPAMENTOS E SERVIÇOS LTDA</v>
      </c>
      <c r="E111" s="1" t="str">
        <f>IFERROR(__xludf.DUMMYFUNCTION("""COMPUTED_VALUE"""),"contratação de empresa especializada na prestação de serviços especializados em SOLUÇÃO DE OUTSOURCING (impressão, cópia e digitalização) e GERENCIAMENTO DE IMPRESSÃO DEPARTAMENTAL, incluindo disponibilização de equipamentos novos, de primeiro uso e em li"&amp;"nha de produção, manutenção preventiva e corretiva, fornecimento e reposição de peças e insumos/consumíveis (incluso papel), além de instalação de software necessário para a operacionalização e gerenciamento de ativos e bilhetagem das páginas.")</f>
        <v>contratação de empresa especializada na prestação de serviços especializados em SOLUÇÃO DE OUTSOURCING (impressão, cópia e digitalização) e GERENCIAMENTO DE IMPRESSÃO DEPARTAMENTAL, incluindo disponibilização de equipamentos novos, de primeiro uso e em linha de produção, manutenção preventiva e corretiva, fornecimento e reposição de peças e insumos/consumíveis (incluso papel), além de instalação de software necessário para a operacionalização e gerenciamento de ativos e bilhetagem das páginas.</v>
      </c>
      <c r="F111" s="1" t="str">
        <f>IFERROR(__xludf.DUMMYFUNCTION("""COMPUTED_VALUE"""),"04/01/2020 A 03/01/2026 (excepcional em andamento)")</f>
        <v>04/01/2020 A 03/01/2026 (excepcional em andamento)</v>
      </c>
      <c r="G111" s="11">
        <f>IFERROR(__xludf.DUMMYFUNCTION("""COMPUTED_VALUE"""),39.0)</f>
        <v>39</v>
      </c>
      <c r="H111" s="6">
        <f>IFERROR(__xludf.DUMMYFUNCTION("""COMPUTED_VALUE"""),420000.0)</f>
        <v>420000</v>
      </c>
      <c r="I111" s="6" t="str">
        <f>IFERROR(__xludf.DUMMYFUNCTION("""COMPUTED_VALUE"""),"DEMANDA")</f>
        <v>DEMANDA</v>
      </c>
      <c r="J111" s="1" t="str">
        <f>IFERROR(__xludf.DUMMYFUNCTION("""COMPUTED_VALUE"""),"1° TERMO ADITIVO VIGÊNCIA ")</f>
        <v>1° TERMO ADITIVO VIGÊNCIA </v>
      </c>
      <c r="K111" s="5">
        <f>IFERROR(__xludf.DUMMYFUNCTION("""COMPUTED_VALUE"""),354136.33999999997)</f>
        <v>354136.34</v>
      </c>
      <c r="L111" s="1" t="str">
        <f>IFERROR(__xludf.DUMMYFUNCTION("""COMPUTED_VALUE"""),"WELLINGTON REINALDO NABUCO")</f>
        <v>WELLINGTON REINALDO NABUCO</v>
      </c>
      <c r="M111" s="1" t="str">
        <f>IFERROR(__xludf.DUMMYFUNCTION("""COMPUTED_VALUE"""),"SAADS")</f>
        <v>SAADS</v>
      </c>
      <c r="N111" s="1"/>
      <c r="O111" s="1"/>
    </row>
    <row r="112">
      <c r="A112" s="1">
        <f>IFERROR(__xludf.DUMMYFUNCTION("""COMPUTED_VALUE"""),111.0)</f>
        <v>111</v>
      </c>
      <c r="B112" s="1" t="str">
        <f>IFERROR(__xludf.DUMMYFUNCTION("""COMPUTED_VALUE"""),"012/2020")</f>
        <v>012/2020</v>
      </c>
      <c r="C112" s="1" t="str">
        <f>IFERROR(__xludf.DUMMYFUNCTION("""COMPUTED_VALUE"""),"SETASC-PRO-2022/00417")</f>
        <v>SETASC-PRO-2022/00417</v>
      </c>
      <c r="D112" s="1" t="str">
        <f>IFERROR(__xludf.DUMMYFUNCTION("""COMPUTED_VALUE"""),"INTERLAGOS LOCADORA DE VEÍCULOS LTDA ME")</f>
        <v>INTERLAGOS LOCADORA DE VEÍCULOS LTDA ME</v>
      </c>
      <c r="E112" s="1" t="str">
        <f>IFERROR(__xludf.DUMMYFUNCTION("""COMPUTED_VALUE"""),"Prestação de serviços de locação de veículos, tipo caminhonetes, tipo econômico e van, para atender á SETASC e suas unidades descentralizadas")</f>
        <v>Prestação de serviços de locação de veículos, tipo caminhonetes, tipo econômico e van, para atender á SETASC e suas unidades descentralizadas</v>
      </c>
      <c r="F112" s="1" t="str">
        <f>IFERROR(__xludf.DUMMYFUNCTION("""COMPUTED_VALUE"""),"22/08/2020 a 21/08/2026")</f>
        <v>22/08/2020 a 21/08/2026</v>
      </c>
      <c r="G112" s="11">
        <f>IFERROR(__xludf.DUMMYFUNCTION("""COMPUTED_VALUE"""),39.0)</f>
        <v>39</v>
      </c>
      <c r="H112" s="6">
        <f>IFERROR(__xludf.DUMMYFUNCTION("""COMPUTED_VALUE"""),583977.48)</f>
        <v>583977.48</v>
      </c>
      <c r="I112" s="6" t="str">
        <f>IFERROR(__xludf.DUMMYFUNCTION("""COMPUTED_VALUE"""),"CONTINUO")</f>
        <v>CONTINUO</v>
      </c>
      <c r="J112" s="1" t="str">
        <f>IFERROR(__xludf.DUMMYFUNCTION("""COMPUTED_VALUE"""),"NÃO")</f>
        <v>NÃO</v>
      </c>
      <c r="K112" s="5">
        <f>IFERROR(__xludf.DUMMYFUNCTION("""COMPUTED_VALUE"""),15245.670000000042)</f>
        <v>15245.67</v>
      </c>
      <c r="L112" s="1" t="str">
        <f>IFERROR(__xludf.DUMMYFUNCTION("""COMPUTED_VALUE"""),"ANDERSON DA SILVA FONSECA")</f>
        <v>ANDERSON DA SILVA FONSECA</v>
      </c>
      <c r="M112" s="1" t="str">
        <f>IFERROR(__xludf.DUMMYFUNCTION("""COMPUTED_VALUE"""),"SAADS")</f>
        <v>SAADS</v>
      </c>
      <c r="N112" s="1"/>
      <c r="O112" s="1"/>
    </row>
    <row r="113">
      <c r="A113" s="1">
        <f>IFERROR(__xludf.DUMMYFUNCTION("""COMPUTED_VALUE"""),112.0)</f>
        <v>112</v>
      </c>
      <c r="B113" s="1" t="str">
        <f>IFERROR(__xludf.DUMMYFUNCTION("""COMPUTED_VALUE"""),"043/2017")</f>
        <v>043/2017</v>
      </c>
      <c r="C113" s="1" t="str">
        <f>IFERROR(__xludf.DUMMYFUNCTION("""COMPUTED_VALUE"""),"SETASC-PRO-2022/00418")</f>
        <v>SETASC-PRO-2022/00418</v>
      </c>
      <c r="D113" s="1" t="str">
        <f>IFERROR(__xludf.DUMMYFUNCTION("""COMPUTED_VALUE"""),"CAMPOS E SILVA (CRDH)")</f>
        <v>CAMPOS E SILVA (CRDH)</v>
      </c>
      <c r="E113" s="1" t="str">
        <f>IFERROR(__xludf.DUMMYFUNCTION("""COMPUTED_VALUE"""),"Consite em locação de imovel para instalação do Centro de Referenciaem direitos humanos em Caceres.  ")</f>
        <v>Consite em locação de imovel para instalação do Centro de Referenciaem direitos humanos em Caceres.  </v>
      </c>
      <c r="F113" s="1" t="str">
        <f>IFERROR(__xludf.DUMMYFUNCTION("""COMPUTED_VALUE"""),"18/09/2025 a 17/09/2026")</f>
        <v>18/09/2025 a 17/09/2026</v>
      </c>
      <c r="G113" s="11" t="str">
        <f>IFERROR(__xludf.DUMMYFUNCTION("""COMPUTED_VALUE"""),"39- SERVIÇOS")</f>
        <v>39- SERVIÇOS</v>
      </c>
      <c r="H113" s="6" t="str">
        <f>IFERROR(__xludf.DUMMYFUNCTION("""COMPUTED_VALUE"""),"R$22.045,32")</f>
        <v>R$22.045,32</v>
      </c>
      <c r="I113" s="6" t="str">
        <f>IFERROR(__xludf.DUMMYFUNCTION("""COMPUTED_VALUE"""),"CONTINUO")</f>
        <v>CONTINUO</v>
      </c>
      <c r="J113" s="6" t="str">
        <f>IFERROR(__xludf.DUMMYFUNCTION("""COMPUTED_VALUE"""),"6° ADITIVO - VIGÊNCIA ")</f>
        <v>6° ADITIVO - VIGÊNCIA </v>
      </c>
      <c r="K113" s="6">
        <f>IFERROR(__xludf.DUMMYFUNCTION("""COMPUTED_VALUE"""),-847.6800000000003)</f>
        <v>-847.68</v>
      </c>
      <c r="L113" s="1"/>
      <c r="M113" s="1" t="str">
        <f>IFERROR(__xludf.DUMMYFUNCTION("""COMPUTED_VALUE"""),"SADH")</f>
        <v>SADH</v>
      </c>
      <c r="N113" s="1"/>
      <c r="O113" s="1"/>
    </row>
    <row r="114">
      <c r="A114" s="1">
        <f>IFERROR(__xludf.DUMMYFUNCTION("""COMPUTED_VALUE"""),113.0)</f>
        <v>113</v>
      </c>
      <c r="B114" s="1" t="str">
        <f>IFERROR(__xludf.DUMMYFUNCTION("""COMPUTED_VALUE"""),"011/2015")</f>
        <v>011/2015</v>
      </c>
      <c r="C114" s="1" t="str">
        <f>IFERROR(__xludf.DUMMYFUNCTION("""COMPUTED_VALUE"""),"SETASC-PRO-2022/00255")</f>
        <v>SETASC-PRO-2022/00255</v>
      </c>
      <c r="D114" s="1" t="str">
        <f>IFERROR(__xludf.DUMMYFUNCTION("""COMPUTED_VALUE"""),"VARZEA GRANDE SHOPPPING")</f>
        <v>VARZEA GRANDE SHOPPPING</v>
      </c>
      <c r="E114" s="1" t="str">
        <f>IFERROR(__xludf.DUMMYFUNCTION("""COMPUTED_VALUE"""),"O presente tem por objeto a locação de ESPAÇO COMERCIAL do empreendimento denominado VÁRZEA GRANDE SHOPPING, para implantação do Ganha Tempo, com numeração e área indicadas, respectivamente, nos itens 02 e 03 do RIC, perfeitamente identificado e caracteri"&amp;"zado na PLANTA.")</f>
        <v>O presente tem por objeto a locação de ESPAÇO COMERCIAL do empreendimento denominado VÁRZEA GRANDE SHOPPING, para implantação do Ganha Tempo, com numeração e área indicadas, respectivamente, nos itens 02 e 03 do RIC, perfeitamente identificado e caracterizado na PLANTA.</v>
      </c>
      <c r="F114" s="1" t="str">
        <f>IFERROR(__xludf.DUMMYFUNCTION("""COMPUTED_VALUE"""),"16/11/2020 a 16/11/2028")</f>
        <v>16/11/2020 a 16/11/2028</v>
      </c>
      <c r="G114" s="11" t="str">
        <f>IFERROR(__xludf.DUMMYFUNCTION("""COMPUTED_VALUE"""),"39- SERVIÇOS")</f>
        <v>39- SERVIÇOS</v>
      </c>
      <c r="H114" s="6">
        <f>IFERROR(__xludf.DUMMYFUNCTION("""COMPUTED_VALUE"""),486546.72)</f>
        <v>486546.72</v>
      </c>
      <c r="I114" s="6">
        <f>IFERROR(__xludf.DUMMYFUNCTION("""COMPUTED_VALUE"""),25000.0)</f>
        <v>25000</v>
      </c>
      <c r="J114" s="6" t="str">
        <f>IFERROR(__xludf.DUMMYFUNCTION("""COMPUTED_VALUE"""),"1° TERMO ADITIVO DE CLAUSULA 12 PARCELAS DE 16.471,22 E 15.416,67")</f>
        <v>1° TERMO ADITIVO DE CLAUSULA 12 PARCELAS DE 16.471,22 E 15.416,67</v>
      </c>
      <c r="K114" s="6">
        <f>IFERROR(__xludf.DUMMYFUNCTION("""COMPUTED_VALUE"""),1447094.11)</f>
        <v>1447094.11</v>
      </c>
      <c r="L114" s="1" t="str">
        <f>IFERROR(__xludf.DUMMYFUNCTION("""COMPUTED_VALUE"""),"(65)98138-0129/3388-0334")</f>
        <v>(65)98138-0129/3388-0334</v>
      </c>
      <c r="M114" s="1" t="str">
        <f>IFERROR(__xludf.DUMMYFUNCTION("""COMPUTED_VALUE"""),"SACIS")</f>
        <v>SACIS</v>
      </c>
      <c r="N114" s="1"/>
      <c r="O114" s="1"/>
    </row>
    <row r="115">
      <c r="A115" s="1"/>
      <c r="B115" s="1"/>
      <c r="C115" s="1"/>
      <c r="D115" s="1"/>
      <c r="E115" s="1"/>
      <c r="F115" s="1"/>
      <c r="G115" s="1" t="str">
        <f>IFERROR(__xludf.DUMMYFUNCTION("""COMPUTED_VALUE"""),"TOTAL")</f>
        <v>TOTAL</v>
      </c>
      <c r="H115" s="6">
        <f>IFERROR(__xludf.DUMMYFUNCTION("""COMPUTED_VALUE"""),4.6633362574E8)</f>
        <v>466333625.7</v>
      </c>
      <c r="I115" s="1"/>
      <c r="J115" s="1"/>
      <c r="K115" s="6">
        <f>IFERROR(__xludf.DUMMYFUNCTION("""COMPUTED_VALUE"""),4658202.6899999995)</f>
        <v>4658202.69</v>
      </c>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t="str">
        <f>IFERROR(__xludf.DUMMYFUNCTION("""COMPUTED_VALUE"""),"UOS")</f>
        <v>UOS</v>
      </c>
      <c r="C118" s="1"/>
      <c r="D118" s="1"/>
      <c r="E118" s="1"/>
      <c r="F118" s="1"/>
      <c r="G118" s="1"/>
      <c r="H118" s="1"/>
      <c r="I118" s="1"/>
      <c r="J118" s="1"/>
      <c r="K118" s="1"/>
      <c r="L118" s="1"/>
      <c r="M118" s="1"/>
      <c r="N118" s="1"/>
      <c r="O118" s="1"/>
    </row>
    <row r="119">
      <c r="A119" s="1"/>
      <c r="B119" s="1">
        <f>IFERROR(__xludf.DUMMYFUNCTION("""COMPUTED_VALUE"""),22101.0)</f>
        <v>22101</v>
      </c>
      <c r="C119" s="1"/>
      <c r="D119" s="1"/>
      <c r="E119" s="1" t="str">
        <f>IFERROR(__xludf.DUMMYFUNCTION("""COMPUTED_VALUE"""),"Secretaria de Assistência Social e Cidadania - SETASC")</f>
        <v>Secretaria de Assistência Social e Cidadania - SETASC</v>
      </c>
      <c r="F119" s="1"/>
      <c r="G119" s="1"/>
      <c r="H119" s="1"/>
      <c r="I119" s="1"/>
      <c r="J119" s="1"/>
      <c r="K119" s="1"/>
      <c r="L119" s="1"/>
      <c r="M119" s="1"/>
      <c r="N119" s="1"/>
      <c r="O119" s="1"/>
    </row>
    <row r="120">
      <c r="A120" s="1"/>
      <c r="B120" s="1">
        <f>IFERROR(__xludf.DUMMYFUNCTION("""COMPUTED_VALUE"""),22603.0)</f>
        <v>22603</v>
      </c>
      <c r="C120" s="1"/>
      <c r="D120" s="1"/>
      <c r="E120" s="1" t="str">
        <f>IFERROR(__xludf.DUMMYFUNCTION("""COMPUTED_VALUE"""),"Fundo para Infância e Adolescência - FIA")</f>
        <v>Fundo para Infância e Adolescência - FIA</v>
      </c>
      <c r="F120" s="1"/>
      <c r="G120" s="1"/>
      <c r="H120" s="1"/>
      <c r="I120" s="1"/>
      <c r="J120" s="1"/>
      <c r="K120" s="1"/>
      <c r="L120" s="1"/>
      <c r="M120" s="1"/>
      <c r="N120" s="1"/>
      <c r="O120" s="1"/>
    </row>
    <row r="121">
      <c r="A121" s="1"/>
      <c r="B121" s="1">
        <f>IFERROR(__xludf.DUMMYFUNCTION("""COMPUTED_VALUE"""),22607.0)</f>
        <v>22607</v>
      </c>
      <c r="C121" s="1"/>
      <c r="D121" s="1"/>
      <c r="E121" s="1" t="str">
        <f>IFERROR(__xludf.DUMMYFUNCTION("""COMPUTED_VALUE"""),"Fundo Estadual de Assistência Social - FEAS")</f>
        <v>Fundo Estadual de Assistência Social - FEAS</v>
      </c>
      <c r="F121" s="1"/>
      <c r="G121" s="1"/>
      <c r="H121" s="1"/>
      <c r="I121" s="1"/>
      <c r="J121" s="1"/>
      <c r="K121" s="1"/>
      <c r="L121" s="1"/>
      <c r="M121" s="1"/>
      <c r="N121" s="1"/>
      <c r="O121" s="1"/>
    </row>
    <row r="122">
      <c r="A122" s="1"/>
      <c r="B122" s="1">
        <f>IFERROR(__xludf.DUMMYFUNCTION("""COMPUTED_VALUE"""),22608.0)</f>
        <v>22608</v>
      </c>
      <c r="C122" s="1"/>
      <c r="D122" s="1"/>
      <c r="E122" s="1" t="str">
        <f>IFERROR(__xludf.DUMMYFUNCTION("""COMPUTED_VALUE"""),"FUNDECON")</f>
        <v>FUNDECON</v>
      </c>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sheetData>
  <hyperlinks>
    <hyperlink r:id="rId1" ref="C85"/>
  </hyperlinks>
  <drawing r:id="rId2"/>
</worksheet>
</file>